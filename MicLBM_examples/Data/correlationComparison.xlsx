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uky67my\Documents\GitHub\JAX-LaB-MicTherm\examples_SDU\Data\"/>
    </mc:Choice>
  </mc:AlternateContent>
  <xr:revisionPtr revIDLastSave="0" documentId="13_ncr:1_{CCF9124A-968D-47C8-8EB4-DD53FB0A8FE1}" xr6:coauthVersionLast="47" xr6:coauthVersionMax="47" xr10:uidLastSave="{00000000-0000-0000-0000-000000000000}"/>
  <bookViews>
    <workbookView xWindow="40560" yWindow="2160" windowWidth="28800" windowHeight="15345" xr2:uid="{8896788D-4D17-4058-8025-1A7424B43ED5}"/>
  </bookViews>
  <sheets>
    <sheet name="Ark1" sheetId="1" r:id="rId1"/>
    <sheet name="Reuslt MicTherm raw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0" i="1" l="1"/>
  <c r="H84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45" i="1"/>
  <c r="H28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I84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62" i="1"/>
  <c r="K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L30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I31" i="1"/>
  <c r="I32" i="1"/>
  <c r="I33" i="1"/>
  <c r="I34" i="1"/>
  <c r="I35" i="1"/>
  <c r="I36" i="1"/>
  <c r="I37" i="1"/>
  <c r="I38" i="1"/>
  <c r="I39" i="1"/>
  <c r="I40" i="1"/>
  <c r="I41" i="1"/>
  <c r="I42" i="1"/>
  <c r="I30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H29" i="1"/>
  <c r="H31" i="1"/>
  <c r="H32" i="1"/>
  <c r="H33" i="1"/>
  <c r="H34" i="1"/>
  <c r="H35" i="1"/>
  <c r="H36" i="1"/>
  <c r="H37" i="1"/>
  <c r="H38" i="1"/>
  <c r="C58" i="1"/>
  <c r="C57" i="1"/>
  <c r="E52" i="1"/>
  <c r="E51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I7" i="1"/>
  <c r="H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G7" i="1"/>
  <c r="F7" i="1"/>
  <c r="E7" i="1"/>
  <c r="A41" i="1"/>
  <c r="G41" i="1" s="1"/>
  <c r="A40" i="1"/>
  <c r="G40" i="1" s="1"/>
  <c r="A39" i="1"/>
  <c r="G39" i="1" s="1"/>
  <c r="A31" i="1"/>
  <c r="G31" i="1" s="1"/>
  <c r="A38" i="1"/>
  <c r="G38" i="1" s="1"/>
  <c r="A37" i="1"/>
  <c r="G37" i="1" s="1"/>
  <c r="A36" i="1"/>
  <c r="G36" i="1" s="1"/>
  <c r="A35" i="1"/>
  <c r="G35" i="1" s="1"/>
  <c r="A34" i="1"/>
  <c r="G34" i="1" s="1"/>
  <c r="A33" i="1"/>
  <c r="G33" i="1" s="1"/>
  <c r="A32" i="1"/>
  <c r="G32" i="1" s="1"/>
  <c r="A30" i="1"/>
  <c r="G30" i="1" s="1"/>
  <c r="A29" i="1"/>
  <c r="G29" i="1" s="1"/>
  <c r="A28" i="1"/>
  <c r="G28" i="1" s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C7" i="1"/>
  <c r="B7" i="1"/>
</calcChain>
</file>

<file path=xl/sharedStrings.xml><?xml version="1.0" encoding="utf-8"?>
<sst xmlns="http://schemas.openxmlformats.org/spreadsheetml/2006/main" count="268" uniqueCount="160">
  <si>
    <t>k</t>
  </si>
  <si>
    <t>A</t>
  </si>
  <si>
    <t>beta</t>
  </si>
  <si>
    <t>k_order</t>
  </si>
  <si>
    <t>A_order</t>
  </si>
  <si>
    <t>T_crit [K]</t>
  </si>
  <si>
    <t>T_red [-]</t>
  </si>
  <si>
    <t>REF</t>
  </si>
  <si>
    <t>10.1063/1.4885351</t>
  </si>
  <si>
    <t>eta_l [µPa s]</t>
  </si>
  <si>
    <t>eta_g [µPa s]</t>
  </si>
  <si>
    <t>surfTens [mN/m]</t>
  </si>
  <si>
    <t>rho_l [kg/m³]</t>
  </si>
  <si>
    <t>rho_g [kg/m³]</t>
  </si>
  <si>
    <t>Argon</t>
  </si>
  <si>
    <t>rho_crit [kg/m³]</t>
  </si>
  <si>
    <t>10.1007/s10765-025-03603-8</t>
  </si>
  <si>
    <t>number of entries-weighting</t>
  </si>
  <si>
    <t>1_over_T_order</t>
  </si>
  <si>
    <t>-</t>
  </si>
  <si>
    <t>mN/m</t>
  </si>
  <si>
    <t xml:space="preserve">/= 1 mJ/m2 </t>
  </si>
  <si>
    <t>Martin</t>
  </si>
  <si>
    <t>MicTherm</t>
  </si>
  <si>
    <t>muPa/s</t>
  </si>
  <si>
    <t>/ = 10-6Pa/s</t>
  </si>
  <si>
    <t>kg/m3</t>
  </si>
  <si>
    <t>/ = 39.948 * mol/l</t>
  </si>
  <si>
    <t>Argon a</t>
  </si>
  <si>
    <t>Argon b</t>
  </si>
  <si>
    <t>Pa.m6/mol2</t>
  </si>
  <si>
    <t>m3/mol</t>
  </si>
  <si>
    <t>R</t>
  </si>
  <si>
    <t>J/K mol</t>
  </si>
  <si>
    <t>Tc</t>
  </si>
  <si>
    <t>K</t>
  </si>
  <si>
    <t>pc</t>
  </si>
  <si>
    <t>Pa</t>
  </si>
  <si>
    <t>a</t>
  </si>
  <si>
    <t>b</t>
  </si>
  <si>
    <t>T</t>
  </si>
  <si>
    <t>surfTens [N/m2]</t>
  </si>
  <si>
    <t>SurfTens</t>
  </si>
  <si>
    <t>eta</t>
  </si>
  <si>
    <t>rho</t>
  </si>
  <si>
    <t>eta_l [Pa s]</t>
  </si>
  <si>
    <t>eta_g [Pa s]</t>
  </si>
  <si>
    <t>rho_l [mol/l]</t>
  </si>
  <si>
    <t>rho_g [mol/l]</t>
  </si>
  <si>
    <t>M</t>
  </si>
  <si>
    <t>kg/mol</t>
  </si>
  <si>
    <t> 174.77</t>
  </si>
  <si>
    <t> 199.86</t>
  </si>
  <si>
    <t> 89.34</t>
  </si>
  <si>
    <t> 99.40</t>
  </si>
  <si>
    <t> 124.51</t>
  </si>
  <si>
    <r>
      <t>T</t>
    </r>
    <r>
      <rPr>
        <b/>
        <sz val="11"/>
        <color theme="1"/>
        <rFont val="Arial"/>
        <family val="2"/>
        <scheme val="minor"/>
      </rPr>
      <t>/K</t>
    </r>
  </si>
  <si>
    <r>
      <t>p</t>
    </r>
    <r>
      <rPr>
        <b/>
        <sz val="11"/>
        <color theme="1"/>
        <rFont val="Arial"/>
        <family val="2"/>
        <scheme val="minor"/>
      </rPr>
      <t>/MPa</t>
    </r>
  </si>
  <si>
    <r>
      <t>ρ</t>
    </r>
    <r>
      <rPr>
        <b/>
        <vertAlign val="subscript"/>
        <sz val="11"/>
        <color theme="1"/>
        <rFont val="Arial"/>
        <family val="2"/>
        <scheme val="minor"/>
      </rPr>
      <t>ref/</t>
    </r>
    <r>
      <rPr>
        <b/>
        <sz val="11"/>
        <color theme="1"/>
        <rFont val="Arial"/>
        <family val="2"/>
        <scheme val="minor"/>
      </rPr>
      <t>(kg·m</t>
    </r>
    <r>
      <rPr>
        <b/>
        <vertAlign val="superscript"/>
        <sz val="11"/>
        <color theme="1"/>
        <rFont val="Arial"/>
        <family val="2"/>
        <scheme val="minor"/>
      </rPr>
      <t>−3</t>
    </r>
    <r>
      <rPr>
        <b/>
        <sz val="11"/>
        <color theme="1"/>
        <rFont val="Arial"/>
        <family val="2"/>
        <scheme val="minor"/>
      </rPr>
      <t>)</t>
    </r>
  </si>
  <si>
    <r>
      <t>η</t>
    </r>
    <r>
      <rPr>
        <b/>
        <sz val="11"/>
        <color theme="1"/>
        <rFont val="Arial"/>
        <family val="2"/>
        <scheme val="minor"/>
      </rPr>
      <t>/(μPa·s)</t>
    </r>
  </si>
  <si>
    <t>g</t>
  </si>
  <si>
    <t>l</t>
  </si>
  <si>
    <t>sc</t>
  </si>
  <si>
    <t>https://doi.org/10.1007/s10765-023-03325-9</t>
  </si>
  <si>
    <t>T (K)</t>
  </si>
  <si>
    <t>p (MPa)</t>
  </si>
  <si>
    <t>ρcalc (kg·m⁻³)</t>
  </si>
  <si>
    <t>η (µPa·s)</t>
  </si>
  <si>
    <t>Uc(η) (µPa·s)</t>
  </si>
  <si>
    <t>https://pubs.acs.org/doi/10.1021/acs.iecr.9b01533</t>
  </si>
  <si>
    <t xml:space="preserve">T_VLE </t>
  </si>
  <si>
    <t xml:space="preserve"> rhoL </t>
  </si>
  <si>
    <t xml:space="preserve"> rhoV </t>
  </si>
  <si>
    <t xml:space="preserve"> p_VLE </t>
  </si>
  <si>
    <t xml:space="preserve"> dHv </t>
  </si>
  <si>
    <t xml:space="preserve"> spin_rhoL </t>
  </si>
  <si>
    <t xml:space="preserve"> spin_rhoV </t>
  </si>
  <si>
    <t xml:space="preserve"> spin_pL </t>
  </si>
  <si>
    <t xml:space="preserve"> spin_pV</t>
  </si>
  <si>
    <t xml:space="preserve">K </t>
  </si>
  <si>
    <t xml:space="preserve"> mol/l </t>
  </si>
  <si>
    <t xml:space="preserve"> MPa </t>
  </si>
  <si>
    <t xml:space="preserve"> J/mol </t>
  </si>
  <si>
    <t xml:space="preserve"> MPa</t>
  </si>
  <si>
    <t xml:space="preserve">T </t>
  </si>
  <si>
    <t xml:space="preserve"> rho </t>
  </si>
  <si>
    <t xml:space="preserve"> p </t>
  </si>
  <si>
    <t xml:space="preserve"> x_1 </t>
  </si>
  <si>
    <t xml:space="preserve"> a_T </t>
  </si>
  <si>
    <t xml:space="preserve"> Z </t>
  </si>
  <si>
    <t xml:space="preserve"> u </t>
  </si>
  <si>
    <t xml:space="preserve"> h </t>
  </si>
  <si>
    <t xml:space="preserve"> s_res </t>
  </si>
  <si>
    <t xml:space="preserve"> g </t>
  </si>
  <si>
    <t xml:space="preserve"> cv </t>
  </si>
  <si>
    <t xml:space="preserve"> cp </t>
  </si>
  <si>
    <t xml:space="preserve"> dp_dT </t>
  </si>
  <si>
    <t xml:space="preserve"> dp_drho </t>
  </si>
  <si>
    <t xml:space="preserve"> w </t>
  </si>
  <si>
    <t xml:space="preserve"> Grueneisen </t>
  </si>
  <si>
    <t xml:space="preserve"> alpha </t>
  </si>
  <si>
    <t xml:space="preserve"> beta </t>
  </si>
  <si>
    <t xml:space="preserve"> gamma </t>
  </si>
  <si>
    <t xml:space="preserve"> muJT </t>
  </si>
  <si>
    <t xml:space="preserve"> B_vir </t>
  </si>
  <si>
    <t xml:space="preserve"> C_vir </t>
  </si>
  <si>
    <t xml:space="preserve"> a_T_00 </t>
  </si>
  <si>
    <t xml:space="preserve"> a_T_01 </t>
  </si>
  <si>
    <t xml:space="preserve"> a_T_02 </t>
  </si>
  <si>
    <t xml:space="preserve"> a_T_11 </t>
  </si>
  <si>
    <t xml:space="preserve"> a_T_10 </t>
  </si>
  <si>
    <t xml:space="preserve"> a_T_20 </t>
  </si>
  <si>
    <t xml:space="preserve"> cv_ID </t>
  </si>
  <si>
    <t xml:space="preserve"> mu_T_1 </t>
  </si>
  <si>
    <t xml:space="preserve"> mu_T_res_1 </t>
  </si>
  <si>
    <t xml:space="preserve"> phi_1 </t>
  </si>
  <si>
    <t xml:space="preserve"> s_tilde </t>
  </si>
  <si>
    <t xml:space="preserve"> eta </t>
  </si>
  <si>
    <t xml:space="preserve"> eta_s </t>
  </si>
  <si>
    <t xml:space="preserve"> mol dm^-3 </t>
  </si>
  <si>
    <t xml:space="preserve"> mol mol^-1 </t>
  </si>
  <si>
    <t xml:space="preserve"> J mol^-1 </t>
  </si>
  <si>
    <t xml:space="preserve"> - </t>
  </si>
  <si>
    <t xml:space="preserve"> J mol^-1 K^-1 </t>
  </si>
  <si>
    <t xml:space="preserve"> MPa K^-1 </t>
  </si>
  <si>
    <t xml:space="preserve"> m s^-1 </t>
  </si>
  <si>
    <t xml:space="preserve"> K^-1 </t>
  </si>
  <si>
    <t xml:space="preserve"> MPa^-1 </t>
  </si>
  <si>
    <t xml:space="preserve"> K MPa^-1 </t>
  </si>
  <si>
    <t xml:space="preserve"> L mol^-1 </t>
  </si>
  <si>
    <t xml:space="preserve"> L^2 mol^-2 </t>
  </si>
  <si>
    <t xml:space="preserve"> Pa s </t>
  </si>
  <si>
    <t xml:space="preserve"> rho_l</t>
  </si>
  <si>
    <t xml:space="preserve"> rho_v</t>
  </si>
  <si>
    <t xml:space="preserve"> eta_l</t>
  </si>
  <si>
    <t xml:space="preserve"> eta_v</t>
  </si>
  <si>
    <t>Tr</t>
  </si>
  <si>
    <t>[kg/m³]</t>
  </si>
  <si>
    <t>[µPa s]</t>
  </si>
  <si>
    <t xml:space="preserve"> t </t>
  </si>
  <si>
    <t xml:space="preserve"> hL </t>
  </si>
  <si>
    <t xml:space="preserve"> hV </t>
  </si>
  <si>
    <t xml:space="preserve"> mol L^-1 </t>
  </si>
  <si>
    <t xml:space="preserve"> m </t>
  </si>
  <si>
    <t xml:space="preserve"> N m^-1 </t>
  </si>
  <si>
    <t xml:space="preserve"> mN m^-1 </t>
  </si>
  <si>
    <t>η (Pa·s)</t>
  </si>
  <si>
    <t>ρ(mol/l)</t>
  </si>
  <si>
    <t>state</t>
  </si>
  <si>
    <t>conversion factor</t>
  </si>
  <si>
    <t>Tr new</t>
  </si>
  <si>
    <t>T new</t>
  </si>
  <si>
    <t xml:space="preserve">T new </t>
  </si>
  <si>
    <t>New selected Data</t>
  </si>
  <si>
    <t>Result MicTherm</t>
  </si>
  <si>
    <t>sort Result MicTherm</t>
  </si>
  <si>
    <t>convertet measurement data</t>
  </si>
  <si>
    <t>MicTherm Result VLE</t>
  </si>
  <si>
    <t xml:space="preserve">MicTherm Result Transport </t>
  </si>
  <si>
    <t xml:space="preserve">MicTherm Result Surface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</si>
</sst>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0"/>
    <numFmt numFmtId="165" formatCode="0.00000"/>
    <numFmt numFmtId="166" formatCode="0.0000000"/>
    <numFmt numFmtId="167" formatCode="0.000"/>
    <numFmt numFmtId="168" formatCode="0.000000"/>
    <numFmt numFmtId="169" formatCode="0.000000000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i/>
      <sz val="11"/>
      <color theme="1"/>
      <name val="Arial"/>
      <family val="2"/>
      <scheme val="minor"/>
    </font>
    <font>
      <b/>
      <vertAlign val="subscript"/>
      <sz val="11"/>
      <color theme="1"/>
      <name val="Arial"/>
      <family val="2"/>
      <scheme val="minor"/>
    </font>
    <font>
      <b/>
      <vertAlign val="superscript"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64">
    <xf numFmtId="0" fontId="0" fillId="0" borderId="0" xfId="0"/>
    <xf numFmtId="2" fontId="0" fillId="0" borderId="0" xfId="0" applyNumberFormat="1"/>
    <xf numFmtId="0" fontId="3" fillId="0" borderId="0" xfId="2"/>
    <xf numFmtId="0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168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66" fontId="0" fillId="0" borderId="0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2" fontId="0" fillId="0" borderId="4" xfId="0" applyNumberFormat="1" applyBorder="1"/>
    <xf numFmtId="165" fontId="0" fillId="0" borderId="0" xfId="0" applyNumberFormat="1" applyBorder="1"/>
    <xf numFmtId="2" fontId="0" fillId="0" borderId="0" xfId="0" applyNumberFormat="1" applyBorder="1"/>
    <xf numFmtId="169" fontId="0" fillId="0" borderId="0" xfId="0" applyNumberFormat="1" applyBorder="1"/>
    <xf numFmtId="169" fontId="0" fillId="0" borderId="0" xfId="1" applyNumberFormat="1" applyFont="1" applyBorder="1"/>
    <xf numFmtId="169" fontId="0" fillId="0" borderId="5" xfId="1" applyNumberFormat="1" applyFont="1" applyBorder="1"/>
    <xf numFmtId="167" fontId="0" fillId="0" borderId="4" xfId="0" applyNumberFormat="1" applyBorder="1"/>
    <xf numFmtId="167" fontId="0" fillId="0" borderId="0" xfId="0" applyNumberFormat="1" applyBorder="1"/>
    <xf numFmtId="169" fontId="0" fillId="0" borderId="5" xfId="0" applyNumberFormat="1" applyBorder="1"/>
    <xf numFmtId="0" fontId="0" fillId="2" borderId="4" xfId="0" applyFill="1" applyBorder="1"/>
    <xf numFmtId="0" fontId="0" fillId="2" borderId="0" xfId="0" applyFill="1" applyBorder="1"/>
    <xf numFmtId="2" fontId="0" fillId="2" borderId="0" xfId="0" applyNumberFormat="1" applyFill="1" applyBorder="1"/>
    <xf numFmtId="11" fontId="0" fillId="2" borderId="0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2" fontId="0" fillId="2" borderId="7" xfId="0" applyNumberFormat="1" applyFill="1" applyBorder="1"/>
    <xf numFmtId="11" fontId="0" fillId="2" borderId="7" xfId="0" applyNumberFormat="1" applyFill="1" applyBorder="1"/>
    <xf numFmtId="0" fontId="0" fillId="2" borderId="8" xfId="0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4" fillId="3" borderId="0" xfId="0" applyFont="1" applyFill="1" applyAlignment="1">
      <alignment horizontal="center" vertical="center" wrapText="1"/>
    </xf>
    <xf numFmtId="0" fontId="0" fillId="3" borderId="0" xfId="0" applyFill="1"/>
    <xf numFmtId="0" fontId="2" fillId="3" borderId="0" xfId="0" applyFont="1" applyFill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right" vertic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3">
    <cellStyle name="Komma" xfId="1" builtinId="3"/>
    <cellStyle name="Link" xfId="2" builtinId="8"/>
    <cellStyle name="Standard" xfId="0" builtinId="0"/>
  </cellStyles>
  <dxfs count="0"/>
  <tableStyles count="1" defaultTableStyle="TableStyleMedium2" defaultPivotStyle="PivotStyleLight16">
    <tableStyle name="Invisible" pivot="0" table="0" count="0" xr9:uid="{2E7F483B-2B08-4B49-B71B-F58BD2F7393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spPr>
            <a:ln w="19050">
              <a:noFill/>
            </a:ln>
          </c:spPr>
          <c:xVal>
            <c:numRef>
              <c:f>'Ark1'!$A$28:$A$41</c:f>
              <c:numCache>
                <c:formatCode>General</c:formatCode>
                <c:ptCount val="14"/>
                <c:pt idx="0">
                  <c:v>0.56408316576745166</c:v>
                </c:pt>
                <c:pt idx="1">
                  <c:v>0.59726452845965472</c:v>
                </c:pt>
                <c:pt idx="2">
                  <c:v>0.63044589115185778</c:v>
                </c:pt>
                <c:pt idx="3">
                  <c:v>0.66362725384406085</c:v>
                </c:pt>
                <c:pt idx="4">
                  <c:v>0.6968086165362638</c:v>
                </c:pt>
                <c:pt idx="5">
                  <c:v>0.72998997922846687</c:v>
                </c:pt>
                <c:pt idx="6">
                  <c:v>0.76317134192066993</c:v>
                </c:pt>
                <c:pt idx="7">
                  <c:v>0.796352704612873</c:v>
                </c:pt>
                <c:pt idx="8">
                  <c:v>0.82953406730507606</c:v>
                </c:pt>
                <c:pt idx="9">
                  <c:v>0.86271542999727902</c:v>
                </c:pt>
                <c:pt idx="10">
                  <c:v>0.89589679268948208</c:v>
                </c:pt>
                <c:pt idx="11">
                  <c:v>0.92907815538168514</c:v>
                </c:pt>
                <c:pt idx="12">
                  <c:v>0.96225951807388821</c:v>
                </c:pt>
                <c:pt idx="13">
                  <c:v>0.99544088076609127</c:v>
                </c:pt>
              </c:numCache>
            </c:numRef>
          </c:xVal>
          <c:yVal>
            <c:numRef>
              <c:f>'Ark1'!$C$28:$C$41</c:f>
              <c:numCache>
                <c:formatCode>General</c:formatCode>
                <c:ptCount val="14"/>
                <c:pt idx="1">
                  <c:v>240.45</c:v>
                </c:pt>
                <c:pt idx="3">
                  <c:v>183.07</c:v>
                </c:pt>
                <c:pt idx="5">
                  <c:v>142.47999999999999</c:v>
                </c:pt>
                <c:pt idx="7">
                  <c:v>111.66</c:v>
                </c:pt>
                <c:pt idx="9">
                  <c:v>86.679000000000002</c:v>
                </c:pt>
                <c:pt idx="11">
                  <c:v>64.471000000000004</c:v>
                </c:pt>
                <c:pt idx="13">
                  <c:v>36.712000000000003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A9C-4E94-AAC6-F48AA48200E9}"/>
            </c:ext>
          </c:extLst>
        </c:ser>
        <c:ser>
          <c:idx val="3"/>
          <c:order val="1"/>
          <c:spPr>
            <a:ln w="19050">
              <a:noFill/>
            </a:ln>
          </c:spPr>
          <c:xVal>
            <c:numRef>
              <c:f>'Ark1'!$A$28:$A$41</c:f>
              <c:numCache>
                <c:formatCode>General</c:formatCode>
                <c:ptCount val="14"/>
                <c:pt idx="0">
                  <c:v>0.56408316576745166</c:v>
                </c:pt>
                <c:pt idx="1">
                  <c:v>0.59726452845965472</c:v>
                </c:pt>
                <c:pt idx="2">
                  <c:v>0.63044589115185778</c:v>
                </c:pt>
                <c:pt idx="3">
                  <c:v>0.66362725384406085</c:v>
                </c:pt>
                <c:pt idx="4">
                  <c:v>0.6968086165362638</c:v>
                </c:pt>
                <c:pt idx="5">
                  <c:v>0.72998997922846687</c:v>
                </c:pt>
                <c:pt idx="6">
                  <c:v>0.76317134192066993</c:v>
                </c:pt>
                <c:pt idx="7">
                  <c:v>0.796352704612873</c:v>
                </c:pt>
                <c:pt idx="8">
                  <c:v>0.82953406730507606</c:v>
                </c:pt>
                <c:pt idx="9">
                  <c:v>0.86271542999727902</c:v>
                </c:pt>
                <c:pt idx="10">
                  <c:v>0.89589679268948208</c:v>
                </c:pt>
                <c:pt idx="11">
                  <c:v>0.92907815538168514</c:v>
                </c:pt>
                <c:pt idx="12">
                  <c:v>0.96225951807388821</c:v>
                </c:pt>
                <c:pt idx="13">
                  <c:v>0.99544088076609127</c:v>
                </c:pt>
              </c:numCache>
            </c:numRef>
          </c:xVal>
          <c:yVal>
            <c:numRef>
              <c:f>'Ark1'!$D$28:$D$41</c:f>
              <c:numCache>
                <c:formatCode>General</c:formatCode>
                <c:ptCount val="14"/>
                <c:pt idx="1">
                  <c:v>7.2245999999999997</c:v>
                </c:pt>
                <c:pt idx="3">
                  <c:v>8.0043000000000006</c:v>
                </c:pt>
                <c:pt idx="5">
                  <c:v>8.8720999999999997</c:v>
                </c:pt>
                <c:pt idx="7">
                  <c:v>9.9016999999999999</c:v>
                </c:pt>
                <c:pt idx="9">
                  <c:v>11.247999999999999</c:v>
                </c:pt>
                <c:pt idx="11">
                  <c:v>13.37</c:v>
                </c:pt>
                <c:pt idx="13">
                  <c:v>20.533000000000001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A9C-4E94-AAC6-F48AA48200E9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'Ark1'!$S$45:$S$58</c:f>
              <c:numCache>
                <c:formatCode>0.00</c:formatCode>
                <c:ptCount val="14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0.95</c:v>
                </c:pt>
              </c:numCache>
            </c:numRef>
          </c:xVal>
          <c:yVal>
            <c:numRef>
              <c:f>'Ark1'!$U$45:$U$58</c:f>
              <c:numCache>
                <c:formatCode>0.00E+00</c:formatCode>
                <c:ptCount val="14"/>
                <c:pt idx="0">
                  <c:v>2995.2249999999999</c:v>
                </c:pt>
                <c:pt idx="1">
                  <c:v>1629.8989999999999</c:v>
                </c:pt>
                <c:pt idx="2">
                  <c:v>963.76199999999903</c:v>
                </c:pt>
                <c:pt idx="3">
                  <c:v>614.79499999999996</c:v>
                </c:pt>
                <c:pt idx="4">
                  <c:v>419.99299999999999</c:v>
                </c:pt>
                <c:pt idx="5">
                  <c:v>304.70999999999998</c:v>
                </c:pt>
                <c:pt idx="6">
                  <c:v>232.655</c:v>
                </c:pt>
                <c:pt idx="7">
                  <c:v>185.197</c:v>
                </c:pt>
                <c:pt idx="8">
                  <c:v>152.25299999999999</c:v>
                </c:pt>
                <c:pt idx="9">
                  <c:v>128.04599999999999</c:v>
                </c:pt>
                <c:pt idx="10">
                  <c:v>109.021</c:v>
                </c:pt>
                <c:pt idx="11" formatCode="General">
                  <c:v>92.713999999999899</c:v>
                </c:pt>
                <c:pt idx="12" formatCode="General">
                  <c:v>76.986999999999895</c:v>
                </c:pt>
                <c:pt idx="13" formatCode="General">
                  <c:v>58.994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A9C-4E94-AAC6-F48AA48200E9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'Ark1'!$S$45:$S$58</c:f>
              <c:numCache>
                <c:formatCode>0.00</c:formatCode>
                <c:ptCount val="14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0.95</c:v>
                </c:pt>
              </c:numCache>
            </c:numRef>
          </c:xVal>
          <c:yVal>
            <c:numRef>
              <c:f>'Ark1'!$X$45:$X$58</c:f>
              <c:numCache>
                <c:formatCode>General</c:formatCode>
                <c:ptCount val="14"/>
                <c:pt idx="0">
                  <c:v>4.4870000000000001</c:v>
                </c:pt>
                <c:pt idx="1">
                  <c:v>5.194</c:v>
                </c:pt>
                <c:pt idx="2">
                  <c:v>5.9169999999999998</c:v>
                </c:pt>
                <c:pt idx="3">
                  <c:v>6.6390000000000002</c:v>
                </c:pt>
                <c:pt idx="4">
                  <c:v>7.3390000000000004</c:v>
                </c:pt>
                <c:pt idx="5">
                  <c:v>7.992</c:v>
                </c:pt>
                <c:pt idx="6">
                  <c:v>8.5760000000000005</c:v>
                </c:pt>
                <c:pt idx="7">
                  <c:v>9.0839999999999996</c:v>
                </c:pt>
                <c:pt idx="8">
                  <c:v>9.5220000000000002</c:v>
                </c:pt>
                <c:pt idx="9">
                  <c:v>9.9239999999999906</c:v>
                </c:pt>
                <c:pt idx="10">
                  <c:v>10.352</c:v>
                </c:pt>
                <c:pt idx="11">
                  <c:v>10.924999999999899</c:v>
                </c:pt>
                <c:pt idx="12">
                  <c:v>11.875</c:v>
                </c:pt>
                <c:pt idx="13">
                  <c:v>13.708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A9C-4E94-AAC6-F48AA4820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211615"/>
        <c:axId val="1948218335"/>
      </c:scatterChart>
      <c:valAx>
        <c:axId val="194821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8218335"/>
        <c:crosses val="autoZero"/>
        <c:crossBetween val="midCat"/>
      </c:valAx>
      <c:valAx>
        <c:axId val="194821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48211615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3081</xdr:colOff>
      <xdr:row>7</xdr:row>
      <xdr:rowOff>141754</xdr:rowOff>
    </xdr:from>
    <xdr:to>
      <xdr:col>20</xdr:col>
      <xdr:colOff>691682</xdr:colOff>
      <xdr:row>23</xdr:row>
      <xdr:rowOff>22972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424DB7E-E26A-D37A-5502-3B3F351CB4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DU">
  <a:themeElements>
    <a:clrScheme name="SDU">
      <a:dk1>
        <a:srgbClr val="000000"/>
      </a:dk1>
      <a:lt1>
        <a:sysClr val="window" lastClr="FFFFFF"/>
      </a:lt1>
      <a:dk2>
        <a:srgbClr val="7A6040"/>
      </a:dk2>
      <a:lt2>
        <a:srgbClr val="DDCBA4"/>
      </a:lt2>
      <a:accent1>
        <a:srgbClr val="AEB862"/>
      </a:accent1>
      <a:accent2>
        <a:srgbClr val="789D4A"/>
      </a:accent2>
      <a:accent3>
        <a:srgbClr val="F2C75C"/>
      </a:accent3>
      <a:accent4>
        <a:srgbClr val="E07E3C"/>
      </a:accent4>
      <a:accent5>
        <a:srgbClr val="E1BBB4"/>
      </a:accent5>
      <a:accent6>
        <a:srgbClr val="D05A57"/>
      </a:accent6>
      <a:hlink>
        <a:srgbClr val="0563C1"/>
      </a:hlink>
      <a:folHlink>
        <a:srgbClr val="954F72"/>
      </a:folHlink>
    </a:clrScheme>
    <a:fontScheme name="SDU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007/s10765-023-03325-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2774-4FA8-4DB9-ACB7-61C81F9E1DC2}">
  <dimension ref="A1:X107"/>
  <sheetViews>
    <sheetView tabSelected="1" topLeftCell="A22" zoomScale="55" zoomScaleNormal="55" workbookViewId="0">
      <selection activeCell="N51" sqref="N51"/>
    </sheetView>
  </sheetViews>
  <sheetFormatPr baseColWidth="10" defaultColWidth="8.625" defaultRowHeight="14.25" x14ac:dyDescent="0.2"/>
  <cols>
    <col min="1" max="1" width="12.875" bestFit="1" customWidth="1"/>
    <col min="2" max="2" width="16.5" bestFit="1" customWidth="1"/>
    <col min="3" max="3" width="10.875" bestFit="1" customWidth="1"/>
    <col min="4" max="4" width="11.5" bestFit="1" customWidth="1"/>
    <col min="5" max="5" width="10.875" bestFit="1" customWidth="1"/>
    <col min="6" max="6" width="11.375" bestFit="1" customWidth="1"/>
    <col min="7" max="7" width="10.875" bestFit="1" customWidth="1"/>
    <col min="8" max="8" width="11.375" bestFit="1" customWidth="1"/>
    <col min="9" max="9" width="11.875" bestFit="1" customWidth="1"/>
    <col min="12" max="12" width="13.375" bestFit="1" customWidth="1"/>
    <col min="13" max="13" width="13.375" customWidth="1"/>
    <col min="14" max="14" width="12.375" bestFit="1" customWidth="1"/>
    <col min="15" max="15" width="11.375" bestFit="1" customWidth="1"/>
    <col min="16" max="17" width="13.375" bestFit="1" customWidth="1"/>
    <col min="18" max="19" width="13.75" bestFit="1" customWidth="1"/>
    <col min="20" max="20" width="13.375" bestFit="1" customWidth="1"/>
    <col min="21" max="22" width="13.75" bestFit="1" customWidth="1"/>
    <col min="23" max="23" width="12.375" bestFit="1" customWidth="1"/>
    <col min="24" max="24" width="11.75" bestFit="1" customWidth="1"/>
  </cols>
  <sheetData>
    <row r="1" spans="1:9" x14ac:dyDescent="0.2">
      <c r="F1" t="s">
        <v>17</v>
      </c>
    </row>
    <row r="2" spans="1:9" x14ac:dyDescent="0.2">
      <c r="A2" t="s">
        <v>2</v>
      </c>
      <c r="B2">
        <v>1</v>
      </c>
      <c r="D2">
        <v>0.5</v>
      </c>
      <c r="F2">
        <v>0.5</v>
      </c>
      <c r="H2">
        <v>0.5</v>
      </c>
    </row>
    <row r="3" spans="1:9" x14ac:dyDescent="0.2">
      <c r="A3" t="s">
        <v>3</v>
      </c>
      <c r="B3">
        <v>1</v>
      </c>
      <c r="D3">
        <v>2</v>
      </c>
      <c r="F3">
        <v>1</v>
      </c>
      <c r="H3">
        <v>1</v>
      </c>
    </row>
    <row r="4" spans="1:9" x14ac:dyDescent="0.2">
      <c r="A4" t="s">
        <v>4</v>
      </c>
      <c r="B4">
        <v>2</v>
      </c>
      <c r="D4">
        <v>2</v>
      </c>
      <c r="F4">
        <v>1</v>
      </c>
      <c r="H4">
        <v>1</v>
      </c>
    </row>
    <row r="5" spans="1:9" x14ac:dyDescent="0.2">
      <c r="A5" t="s">
        <v>18</v>
      </c>
      <c r="B5" t="s">
        <v>19</v>
      </c>
      <c r="D5" t="s">
        <v>19</v>
      </c>
      <c r="F5">
        <v>1</v>
      </c>
      <c r="H5">
        <v>2</v>
      </c>
    </row>
    <row r="6" spans="1:9" x14ac:dyDescent="0.2">
      <c r="B6" t="s">
        <v>0</v>
      </c>
      <c r="C6" t="s">
        <v>1</v>
      </c>
      <c r="D6" t="s">
        <v>0</v>
      </c>
      <c r="E6" t="s">
        <v>1</v>
      </c>
      <c r="F6" t="s">
        <v>0</v>
      </c>
      <c r="G6" t="s">
        <v>1</v>
      </c>
      <c r="H6" t="s">
        <v>0</v>
      </c>
      <c r="I6" t="s">
        <v>1</v>
      </c>
    </row>
    <row r="7" spans="1:9" x14ac:dyDescent="0.2">
      <c r="A7">
        <v>0.3</v>
      </c>
      <c r="B7">
        <f t="shared" ref="B7:B21" si="0">0.3766*A7-0.1028</f>
        <v>1.0179999999999995E-2</v>
      </c>
      <c r="C7">
        <f t="shared" ref="C7:C21" si="1">1.318*A7^2-1.218*A7+0.4991</f>
        <v>0.25231999999999999</v>
      </c>
      <c r="D7">
        <f t="shared" ref="D7:D21" si="2">0.228*A7^2+0.06781*A7-0.008165</f>
        <v>3.2697999999999998E-2</v>
      </c>
      <c r="E7">
        <f t="shared" ref="E7:E21" si="3">1.476*A7^2-1.46*A7+0.5845</f>
        <v>0.27934000000000003</v>
      </c>
      <c r="F7">
        <f t="shared" ref="F7:F21" si="4">0.3403*A7-0.07948</f>
        <v>2.2610000000000005E-2</v>
      </c>
      <c r="G7">
        <f t="shared" ref="G7:G21" si="5">0.1833*A7+0.1962</f>
        <v>0.25119000000000002</v>
      </c>
      <c r="H7">
        <f t="shared" ref="H7:H21" si="6">0.3181*A7-0.07127</f>
        <v>2.4160000000000001E-2</v>
      </c>
      <c r="I7">
        <f t="shared" ref="I7:I21" si="7">0.08109*A7+0.2338</f>
        <v>0.258127</v>
      </c>
    </row>
    <row r="8" spans="1:9" x14ac:dyDescent="0.2">
      <c r="A8">
        <v>0.35</v>
      </c>
      <c r="B8">
        <f t="shared" si="0"/>
        <v>2.900999999999998E-2</v>
      </c>
      <c r="C8">
        <f t="shared" si="1"/>
        <v>0.23425499999999999</v>
      </c>
      <c r="D8">
        <f t="shared" si="2"/>
        <v>4.3498499999999996E-2</v>
      </c>
      <c r="E8">
        <f t="shared" si="3"/>
        <v>0.25430999999999998</v>
      </c>
      <c r="F8">
        <f t="shared" si="4"/>
        <v>3.9624999999999994E-2</v>
      </c>
      <c r="G8">
        <f t="shared" si="5"/>
        <v>0.260355</v>
      </c>
      <c r="H8">
        <f t="shared" si="6"/>
        <v>4.006499999999999E-2</v>
      </c>
      <c r="I8">
        <f t="shared" si="7"/>
        <v>0.26218150000000001</v>
      </c>
    </row>
    <row r="9" spans="1:9" x14ac:dyDescent="0.2">
      <c r="A9">
        <v>0.4</v>
      </c>
      <c r="B9">
        <f t="shared" si="0"/>
        <v>4.7839999999999994E-2</v>
      </c>
      <c r="C9">
        <f t="shared" si="1"/>
        <v>0.22277999999999998</v>
      </c>
      <c r="D9">
        <f t="shared" si="2"/>
        <v>5.5439000000000009E-2</v>
      </c>
      <c r="E9">
        <f t="shared" si="3"/>
        <v>0.23666000000000009</v>
      </c>
      <c r="F9">
        <f t="shared" si="4"/>
        <v>5.6639999999999996E-2</v>
      </c>
      <c r="G9">
        <f t="shared" si="5"/>
        <v>0.26951999999999998</v>
      </c>
      <c r="H9">
        <f t="shared" si="6"/>
        <v>5.5969999999999992E-2</v>
      </c>
      <c r="I9">
        <f t="shared" si="7"/>
        <v>0.26623600000000003</v>
      </c>
    </row>
    <row r="10" spans="1:9" x14ac:dyDescent="0.2">
      <c r="A10">
        <v>0.45</v>
      </c>
      <c r="B10">
        <f t="shared" si="0"/>
        <v>6.6670000000000007E-2</v>
      </c>
      <c r="C10">
        <f t="shared" si="1"/>
        <v>0.21789500000000001</v>
      </c>
      <c r="D10">
        <f t="shared" si="2"/>
        <v>6.8519499999999997E-2</v>
      </c>
      <c r="E10">
        <f t="shared" si="3"/>
        <v>0.22638999999999998</v>
      </c>
      <c r="F10">
        <f t="shared" si="4"/>
        <v>7.3654999999999998E-2</v>
      </c>
      <c r="G10">
        <f t="shared" si="5"/>
        <v>0.27868500000000002</v>
      </c>
      <c r="H10">
        <f t="shared" si="6"/>
        <v>7.1874999999999994E-2</v>
      </c>
      <c r="I10">
        <f t="shared" si="7"/>
        <v>0.27029049999999999</v>
      </c>
    </row>
    <row r="11" spans="1:9" x14ac:dyDescent="0.2">
      <c r="A11">
        <v>0.5</v>
      </c>
      <c r="B11">
        <f t="shared" si="0"/>
        <v>8.5499999999999993E-2</v>
      </c>
      <c r="C11">
        <f t="shared" si="1"/>
        <v>0.21960000000000002</v>
      </c>
      <c r="D11">
        <f t="shared" si="2"/>
        <v>8.2739999999999994E-2</v>
      </c>
      <c r="E11">
        <f t="shared" si="3"/>
        <v>0.22350000000000003</v>
      </c>
      <c r="F11">
        <f t="shared" si="4"/>
        <v>9.0670000000000001E-2</v>
      </c>
      <c r="G11">
        <f t="shared" si="5"/>
        <v>0.28784999999999999</v>
      </c>
      <c r="H11">
        <f t="shared" si="6"/>
        <v>8.7779999999999997E-2</v>
      </c>
      <c r="I11">
        <f t="shared" si="7"/>
        <v>0.27434500000000001</v>
      </c>
    </row>
    <row r="12" spans="1:9" x14ac:dyDescent="0.2">
      <c r="A12">
        <v>0.55000000000000004</v>
      </c>
      <c r="B12">
        <f t="shared" si="0"/>
        <v>0.10433000000000001</v>
      </c>
      <c r="C12">
        <f t="shared" si="1"/>
        <v>0.22789500000000001</v>
      </c>
      <c r="D12">
        <f t="shared" si="2"/>
        <v>9.8100500000000007E-2</v>
      </c>
      <c r="E12">
        <f t="shared" si="3"/>
        <v>0.22799000000000003</v>
      </c>
      <c r="F12">
        <f t="shared" si="4"/>
        <v>0.107685</v>
      </c>
      <c r="G12">
        <f t="shared" si="5"/>
        <v>0.29701500000000003</v>
      </c>
      <c r="H12">
        <f t="shared" si="6"/>
        <v>0.103685</v>
      </c>
      <c r="I12">
        <f t="shared" si="7"/>
        <v>0.27839950000000002</v>
      </c>
    </row>
    <row r="13" spans="1:9" x14ac:dyDescent="0.2">
      <c r="A13">
        <v>0.6</v>
      </c>
      <c r="B13">
        <f t="shared" si="0"/>
        <v>0.12315999999999999</v>
      </c>
      <c r="C13">
        <f t="shared" si="1"/>
        <v>0.24278</v>
      </c>
      <c r="D13">
        <f t="shared" si="2"/>
        <v>0.11460099999999998</v>
      </c>
      <c r="E13">
        <f t="shared" si="3"/>
        <v>0.23985999999999996</v>
      </c>
      <c r="F13">
        <f t="shared" si="4"/>
        <v>0.12470000000000001</v>
      </c>
      <c r="G13">
        <f t="shared" si="5"/>
        <v>0.30618000000000001</v>
      </c>
      <c r="H13">
        <f t="shared" si="6"/>
        <v>0.11959</v>
      </c>
      <c r="I13">
        <f t="shared" si="7"/>
        <v>0.28245399999999998</v>
      </c>
    </row>
    <row r="14" spans="1:9" x14ac:dyDescent="0.2">
      <c r="A14">
        <v>0.65</v>
      </c>
      <c r="B14">
        <f t="shared" si="0"/>
        <v>0.14199000000000001</v>
      </c>
      <c r="C14">
        <f t="shared" si="1"/>
        <v>0.26425500000000013</v>
      </c>
      <c r="D14">
        <f t="shared" si="2"/>
        <v>0.13224150000000001</v>
      </c>
      <c r="E14">
        <f t="shared" si="3"/>
        <v>0.25911000000000017</v>
      </c>
      <c r="F14">
        <f t="shared" si="4"/>
        <v>0.14171500000000001</v>
      </c>
      <c r="G14">
        <f t="shared" si="5"/>
        <v>0.31534499999999999</v>
      </c>
      <c r="H14">
        <f t="shared" si="6"/>
        <v>0.135495</v>
      </c>
      <c r="I14">
        <f t="shared" si="7"/>
        <v>0.2865085</v>
      </c>
    </row>
    <row r="15" spans="1:9" x14ac:dyDescent="0.2">
      <c r="A15">
        <v>0.7</v>
      </c>
      <c r="B15">
        <f t="shared" si="0"/>
        <v>0.16081999999999996</v>
      </c>
      <c r="C15">
        <f t="shared" si="1"/>
        <v>0.29232000000000002</v>
      </c>
      <c r="D15">
        <f t="shared" si="2"/>
        <v>0.15102199999999996</v>
      </c>
      <c r="E15">
        <f t="shared" si="3"/>
        <v>0.28573999999999988</v>
      </c>
      <c r="F15">
        <f t="shared" si="4"/>
        <v>0.15872999999999998</v>
      </c>
      <c r="G15">
        <f t="shared" si="5"/>
        <v>0.32450999999999997</v>
      </c>
      <c r="H15">
        <f t="shared" si="6"/>
        <v>0.15139999999999998</v>
      </c>
      <c r="I15">
        <f t="shared" si="7"/>
        <v>0.29056300000000002</v>
      </c>
    </row>
    <row r="16" spans="1:9" x14ac:dyDescent="0.2">
      <c r="A16">
        <v>0.75</v>
      </c>
      <c r="B16">
        <f t="shared" si="0"/>
        <v>0.17964999999999998</v>
      </c>
      <c r="C16">
        <f t="shared" si="1"/>
        <v>0.32697500000000002</v>
      </c>
      <c r="D16">
        <f t="shared" si="2"/>
        <v>0.1709425</v>
      </c>
      <c r="E16">
        <f t="shared" si="3"/>
        <v>0.31974999999999998</v>
      </c>
      <c r="F16">
        <f t="shared" si="4"/>
        <v>0.17574499999999998</v>
      </c>
      <c r="G16">
        <f t="shared" si="5"/>
        <v>0.333675</v>
      </c>
      <c r="H16">
        <f t="shared" si="6"/>
        <v>0.16730499999999998</v>
      </c>
      <c r="I16">
        <f t="shared" si="7"/>
        <v>0.29461749999999998</v>
      </c>
    </row>
    <row r="17" spans="1:24" x14ac:dyDescent="0.2">
      <c r="A17">
        <v>0.8</v>
      </c>
      <c r="B17">
        <f t="shared" si="0"/>
        <v>0.19847999999999999</v>
      </c>
      <c r="C17">
        <f t="shared" si="1"/>
        <v>0.3682200000000001</v>
      </c>
      <c r="D17">
        <f t="shared" si="2"/>
        <v>0.19200300000000001</v>
      </c>
      <c r="E17">
        <f t="shared" si="3"/>
        <v>0.36114000000000024</v>
      </c>
      <c r="F17">
        <f t="shared" si="4"/>
        <v>0.19275999999999999</v>
      </c>
      <c r="G17">
        <f t="shared" si="5"/>
        <v>0.34284000000000003</v>
      </c>
      <c r="H17">
        <f t="shared" si="6"/>
        <v>0.18320999999999998</v>
      </c>
      <c r="I17">
        <f t="shared" si="7"/>
        <v>0.29867199999999999</v>
      </c>
    </row>
    <row r="18" spans="1:24" x14ac:dyDescent="0.2">
      <c r="A18">
        <v>0.85</v>
      </c>
      <c r="B18">
        <f t="shared" si="0"/>
        <v>0.21731</v>
      </c>
      <c r="C18">
        <f t="shared" si="1"/>
        <v>0.41605500000000006</v>
      </c>
      <c r="D18">
        <f t="shared" si="2"/>
        <v>0.21420349999999996</v>
      </c>
      <c r="E18">
        <f t="shared" si="3"/>
        <v>0.40991</v>
      </c>
      <c r="F18">
        <f t="shared" si="4"/>
        <v>0.20977499999999999</v>
      </c>
      <c r="G18">
        <f t="shared" si="5"/>
        <v>0.35200500000000001</v>
      </c>
      <c r="H18">
        <f t="shared" si="6"/>
        <v>0.19911499999999999</v>
      </c>
      <c r="I18">
        <f t="shared" si="7"/>
        <v>0.30272650000000001</v>
      </c>
    </row>
    <row r="19" spans="1:24" x14ac:dyDescent="0.2">
      <c r="A19">
        <v>0.9</v>
      </c>
      <c r="B19">
        <f t="shared" si="0"/>
        <v>0.23614000000000002</v>
      </c>
      <c r="C19">
        <f t="shared" si="1"/>
        <v>0.47048000000000012</v>
      </c>
      <c r="D19">
        <f t="shared" si="2"/>
        <v>0.23754400000000001</v>
      </c>
      <c r="E19">
        <f t="shared" si="3"/>
        <v>0.46605999999999992</v>
      </c>
      <c r="F19">
        <f t="shared" si="4"/>
        <v>0.22678999999999999</v>
      </c>
      <c r="G19">
        <f t="shared" si="5"/>
        <v>0.36116999999999999</v>
      </c>
      <c r="H19">
        <f t="shared" si="6"/>
        <v>0.21501999999999999</v>
      </c>
      <c r="I19">
        <f t="shared" si="7"/>
        <v>0.30678100000000003</v>
      </c>
    </row>
    <row r="20" spans="1:24" x14ac:dyDescent="0.2">
      <c r="A20">
        <v>0.95</v>
      </c>
      <c r="B20">
        <f t="shared" si="0"/>
        <v>0.25496999999999997</v>
      </c>
      <c r="C20">
        <f t="shared" si="1"/>
        <v>0.53149499999999994</v>
      </c>
      <c r="D20">
        <f t="shared" si="2"/>
        <v>0.26202449999999999</v>
      </c>
      <c r="E20">
        <f t="shared" si="3"/>
        <v>0.52959000000000001</v>
      </c>
      <c r="F20">
        <f t="shared" si="4"/>
        <v>0.24380499999999999</v>
      </c>
      <c r="G20">
        <f t="shared" si="5"/>
        <v>0.37033499999999997</v>
      </c>
      <c r="H20">
        <f t="shared" si="6"/>
        <v>0.23092499999999999</v>
      </c>
      <c r="I20">
        <f t="shared" si="7"/>
        <v>0.31083549999999999</v>
      </c>
    </row>
    <row r="21" spans="1:24" x14ac:dyDescent="0.2">
      <c r="A21">
        <v>1</v>
      </c>
      <c r="B21">
        <f t="shared" si="0"/>
        <v>0.27379999999999999</v>
      </c>
      <c r="C21">
        <f t="shared" si="1"/>
        <v>0.59910000000000008</v>
      </c>
      <c r="D21">
        <f t="shared" si="2"/>
        <v>0.28764500000000004</v>
      </c>
      <c r="E21">
        <f t="shared" si="3"/>
        <v>0.60050000000000003</v>
      </c>
      <c r="F21">
        <f t="shared" si="4"/>
        <v>0.26082</v>
      </c>
      <c r="G21">
        <f t="shared" si="5"/>
        <v>0.3795</v>
      </c>
      <c r="H21">
        <f t="shared" si="6"/>
        <v>0.24682999999999999</v>
      </c>
      <c r="I21">
        <f t="shared" si="7"/>
        <v>0.31489</v>
      </c>
    </row>
    <row r="24" spans="1:24" ht="15" thickBot="1" x14ac:dyDescent="0.25">
      <c r="A24" t="s">
        <v>14</v>
      </c>
    </row>
    <row r="25" spans="1:24" x14ac:dyDescent="0.2">
      <c r="A25" t="s">
        <v>5</v>
      </c>
      <c r="B25">
        <v>150.68700000000001</v>
      </c>
      <c r="G25" s="58" t="s">
        <v>156</v>
      </c>
      <c r="H25" s="59"/>
      <c r="I25" s="59"/>
      <c r="J25" s="59"/>
      <c r="K25" s="59"/>
      <c r="L25" s="60"/>
      <c r="N25" s="52" t="s">
        <v>153</v>
      </c>
      <c r="O25" s="53"/>
      <c r="Q25" s="52" t="s">
        <v>154</v>
      </c>
      <c r="R25" s="54"/>
      <c r="S25" s="54"/>
      <c r="T25" s="54"/>
      <c r="U25" s="54"/>
      <c r="V25" s="54"/>
      <c r="W25" s="54"/>
      <c r="X25" s="53"/>
    </row>
    <row r="26" spans="1:24" ht="15" thickBot="1" x14ac:dyDescent="0.25">
      <c r="A26" t="s">
        <v>15</v>
      </c>
      <c r="B26">
        <v>535.6</v>
      </c>
      <c r="G26" s="61"/>
      <c r="H26" s="62"/>
      <c r="I26" s="62"/>
      <c r="J26" s="62"/>
      <c r="K26" s="62"/>
      <c r="L26" s="63"/>
      <c r="N26" s="10" t="s">
        <v>150</v>
      </c>
      <c r="O26" s="12" t="s">
        <v>152</v>
      </c>
      <c r="Q26" s="10" t="s">
        <v>84</v>
      </c>
      <c r="R26" s="11" t="s">
        <v>102</v>
      </c>
      <c r="S26" s="11" t="s">
        <v>151</v>
      </c>
      <c r="T26" s="11" t="s">
        <v>132</v>
      </c>
      <c r="U26" s="11" t="s">
        <v>134</v>
      </c>
      <c r="V26" s="11" t="s">
        <v>84</v>
      </c>
      <c r="W26" s="11" t="s">
        <v>133</v>
      </c>
      <c r="X26" s="12" t="s">
        <v>135</v>
      </c>
    </row>
    <row r="27" spans="1:24" x14ac:dyDescent="0.2">
      <c r="A27" s="37" t="s">
        <v>6</v>
      </c>
      <c r="B27" s="38" t="s">
        <v>11</v>
      </c>
      <c r="C27" s="38" t="s">
        <v>9</v>
      </c>
      <c r="D27" s="38" t="s">
        <v>10</v>
      </c>
      <c r="E27" s="38" t="s">
        <v>12</v>
      </c>
      <c r="F27" s="39" t="s">
        <v>13</v>
      </c>
      <c r="G27" s="7" t="s">
        <v>40</v>
      </c>
      <c r="H27" s="8" t="s">
        <v>41</v>
      </c>
      <c r="I27" s="8"/>
      <c r="J27" s="8"/>
      <c r="K27" s="8"/>
      <c r="L27" s="9"/>
      <c r="N27" s="10"/>
      <c r="O27" s="12" t="s">
        <v>35</v>
      </c>
      <c r="Q27" s="10" t="s">
        <v>79</v>
      </c>
      <c r="R27" s="11" t="s">
        <v>144</v>
      </c>
      <c r="S27" s="11" t="s">
        <v>79</v>
      </c>
      <c r="T27" s="11" t="s">
        <v>119</v>
      </c>
      <c r="U27" s="11" t="s">
        <v>131</v>
      </c>
      <c r="V27" s="11" t="s">
        <v>79</v>
      </c>
      <c r="W27" s="11" t="s">
        <v>119</v>
      </c>
      <c r="X27" s="12" t="s">
        <v>131</v>
      </c>
    </row>
    <row r="28" spans="1:24" x14ac:dyDescent="0.2">
      <c r="A28" s="40">
        <f>85/$B$25</f>
        <v>0.56408316576745166</v>
      </c>
      <c r="B28" s="41">
        <v>13.23</v>
      </c>
      <c r="C28" s="41"/>
      <c r="D28" s="41"/>
      <c r="E28" s="41"/>
      <c r="F28" s="42"/>
      <c r="G28" s="18">
        <f t="shared" ref="G28:G41" si="8">$B$25*A28</f>
        <v>85</v>
      </c>
      <c r="H28" s="19">
        <f>B28/1000</f>
        <v>1.323E-2</v>
      </c>
      <c r="I28" s="11" t="s">
        <v>45</v>
      </c>
      <c r="J28" s="11" t="s">
        <v>46</v>
      </c>
      <c r="K28" s="11" t="s">
        <v>47</v>
      </c>
      <c r="L28" s="12" t="s">
        <v>48</v>
      </c>
      <c r="N28" s="10">
        <v>0.3</v>
      </c>
      <c r="O28" s="12">
        <f t="shared" ref="O28:O41" si="9">N28*$B$25</f>
        <v>45.206099999999999</v>
      </c>
      <c r="Q28" s="18">
        <v>45.206099999999999</v>
      </c>
      <c r="R28" s="20">
        <v>2.8680832241000001E-2</v>
      </c>
      <c r="S28" s="21">
        <v>143.15264999999999</v>
      </c>
      <c r="T28" s="21">
        <v>21.776693499</v>
      </c>
      <c r="U28" s="22">
        <v>5.8993819609000002E-5</v>
      </c>
      <c r="V28" s="21">
        <v>143.15264999999999</v>
      </c>
      <c r="W28" s="21">
        <v>5.4134906681999997</v>
      </c>
      <c r="X28" s="23">
        <v>1.3707748288E-5</v>
      </c>
    </row>
    <row r="29" spans="1:24" x14ac:dyDescent="0.2">
      <c r="A29" s="40">
        <f>90/$B$25</f>
        <v>0.59726452845965472</v>
      </c>
      <c r="B29" s="41">
        <v>12</v>
      </c>
      <c r="C29" s="41">
        <v>240.45</v>
      </c>
      <c r="D29" s="41">
        <v>7.2245999999999997</v>
      </c>
      <c r="E29" s="41">
        <v>1378.6</v>
      </c>
      <c r="F29" s="43">
        <v>7.4362000000000004</v>
      </c>
      <c r="G29" s="18">
        <f t="shared" si="8"/>
        <v>90</v>
      </c>
      <c r="H29" s="19">
        <f t="shared" ref="H29:H38" si="10">B29/1000</f>
        <v>1.2E-2</v>
      </c>
      <c r="I29" s="11"/>
      <c r="J29" s="11"/>
      <c r="K29" s="11"/>
      <c r="L29" s="12"/>
      <c r="N29" s="10">
        <v>0.35</v>
      </c>
      <c r="O29" s="12">
        <f t="shared" si="9"/>
        <v>52.740450000000003</v>
      </c>
      <c r="Q29" s="18">
        <v>52.740450000000003</v>
      </c>
      <c r="R29" s="20">
        <v>2.5836036281000001E-2</v>
      </c>
      <c r="S29" s="21">
        <v>135.6183</v>
      </c>
      <c r="T29" s="21">
        <v>25.089442170000002</v>
      </c>
      <c r="U29" s="22">
        <v>7.6986789009000006E-5</v>
      </c>
      <c r="V29" s="21">
        <v>135.6183</v>
      </c>
      <c r="W29" s="21">
        <v>3.5076397919</v>
      </c>
      <c r="X29" s="23">
        <v>1.1874520056E-5</v>
      </c>
    </row>
    <row r="30" spans="1:24" x14ac:dyDescent="0.2">
      <c r="A30" s="40">
        <f>95/$B$25</f>
        <v>0.63044589115185778</v>
      </c>
      <c r="B30" s="41">
        <v>10.84</v>
      </c>
      <c r="C30" s="41"/>
      <c r="D30" s="41"/>
      <c r="E30" s="41"/>
      <c r="F30" s="42"/>
      <c r="G30" s="18">
        <f t="shared" si="8"/>
        <v>95</v>
      </c>
      <c r="H30" s="19">
        <f>B30/1000</f>
        <v>1.0840000000000001E-2</v>
      </c>
      <c r="I30" s="11">
        <f t="shared" ref="I30:I42" si="11">C29/10^6</f>
        <v>2.4044999999999999E-4</v>
      </c>
      <c r="J30" s="11">
        <f t="shared" ref="J30:J42" si="12">D29/10^6</f>
        <v>7.2245999999999994E-6</v>
      </c>
      <c r="K30" s="11">
        <f t="shared" ref="K30:K42" si="13">E29/$C$59/1000</f>
        <v>34.509862821668165</v>
      </c>
      <c r="L30" s="12">
        <f t="shared" ref="L30:L42" si="14">F29/$C$59/1000</f>
        <v>0.18614699108841495</v>
      </c>
      <c r="N30" s="10">
        <v>0.4</v>
      </c>
      <c r="O30" s="12">
        <f t="shared" si="9"/>
        <v>60.274800000000006</v>
      </c>
      <c r="Q30" s="18">
        <v>60.274799999999999</v>
      </c>
      <c r="R30" s="20">
        <v>2.3095720125999999E-2</v>
      </c>
      <c r="S30" s="21">
        <v>128.08394999999999</v>
      </c>
      <c r="T30" s="21">
        <v>27.353605438999999</v>
      </c>
      <c r="U30" s="22">
        <v>9.2714193223999999E-5</v>
      </c>
      <c r="V30" s="21">
        <v>128.08394999999999</v>
      </c>
      <c r="W30" s="21">
        <v>2.3369282187999998</v>
      </c>
      <c r="X30" s="23">
        <v>1.0925497119E-5</v>
      </c>
    </row>
    <row r="31" spans="1:24" x14ac:dyDescent="0.2">
      <c r="A31" s="40">
        <f>100/$B$25</f>
        <v>0.66362725384406085</v>
      </c>
      <c r="B31" s="41">
        <v>9.5399999999999991</v>
      </c>
      <c r="C31" s="41">
        <v>183.07</v>
      </c>
      <c r="D31" s="41">
        <v>8.0043000000000006</v>
      </c>
      <c r="E31" s="41">
        <v>1313.7</v>
      </c>
      <c r="F31" s="42">
        <v>16.859000000000002</v>
      </c>
      <c r="G31" s="18">
        <f t="shared" si="8"/>
        <v>100</v>
      </c>
      <c r="H31" s="19">
        <f t="shared" si="10"/>
        <v>9.5399999999999999E-3</v>
      </c>
      <c r="I31" s="11">
        <f t="shared" si="11"/>
        <v>0</v>
      </c>
      <c r="J31" s="11">
        <f t="shared" si="12"/>
        <v>0</v>
      </c>
      <c r="K31" s="11">
        <f t="shared" si="13"/>
        <v>0</v>
      </c>
      <c r="L31" s="12">
        <f t="shared" si="14"/>
        <v>0</v>
      </c>
      <c r="N31" s="10">
        <v>0.45</v>
      </c>
      <c r="O31" s="12">
        <f t="shared" si="9"/>
        <v>67.809150000000002</v>
      </c>
      <c r="Q31" s="18">
        <v>67.809150000000002</v>
      </c>
      <c r="R31" s="20">
        <v>2.0447928491000002E-2</v>
      </c>
      <c r="S31" s="21">
        <v>120.5496</v>
      </c>
      <c r="T31" s="21">
        <v>29.127301539000001</v>
      </c>
      <c r="U31" s="22">
        <v>1.0902054111E-4</v>
      </c>
      <c r="V31" s="21">
        <v>120.5496</v>
      </c>
      <c r="W31" s="21">
        <v>1.5463739110000001</v>
      </c>
      <c r="X31" s="23">
        <v>1.0352265550000001E-5</v>
      </c>
    </row>
    <row r="32" spans="1:24" x14ac:dyDescent="0.2">
      <c r="A32" s="40">
        <f>105/$B$25</f>
        <v>0.6968086165362638</v>
      </c>
      <c r="B32" s="41">
        <v>8.5299999999999994</v>
      </c>
      <c r="C32" s="41"/>
      <c r="D32" s="41"/>
      <c r="E32" s="41"/>
      <c r="F32" s="42"/>
      <c r="G32" s="18">
        <f t="shared" si="8"/>
        <v>104.99999999999999</v>
      </c>
      <c r="H32" s="19">
        <f t="shared" si="10"/>
        <v>8.5299999999999994E-3</v>
      </c>
      <c r="I32" s="11">
        <f t="shared" si="11"/>
        <v>1.8306999999999999E-4</v>
      </c>
      <c r="J32" s="11">
        <f t="shared" si="12"/>
        <v>8.0043000000000006E-6</v>
      </c>
      <c r="K32" s="11">
        <f t="shared" si="13"/>
        <v>32.8852508260739</v>
      </c>
      <c r="L32" s="12">
        <f t="shared" si="14"/>
        <v>0.42202363071993598</v>
      </c>
      <c r="N32" s="10">
        <v>0.5</v>
      </c>
      <c r="O32" s="12">
        <f t="shared" si="9"/>
        <v>75.343500000000006</v>
      </c>
      <c r="Q32" s="18">
        <v>75.343500000000006</v>
      </c>
      <c r="R32" s="20">
        <v>1.7888470327E-2</v>
      </c>
      <c r="S32" s="21">
        <v>113.01524999999999</v>
      </c>
      <c r="T32" s="21">
        <v>30.619948311000002</v>
      </c>
      <c r="U32" s="22">
        <v>1.2804596480000001E-4</v>
      </c>
      <c r="V32" s="21">
        <v>113.01524999999999</v>
      </c>
      <c r="W32" s="21">
        <v>0.99737817085000002</v>
      </c>
      <c r="X32" s="23">
        <v>9.9235753871000006E-6</v>
      </c>
    </row>
    <row r="33" spans="1:24" x14ac:dyDescent="0.2">
      <c r="A33" s="40">
        <f>110/$B$25</f>
        <v>0.72998997922846687</v>
      </c>
      <c r="B33" s="41">
        <v>7.24</v>
      </c>
      <c r="C33" s="41">
        <v>142.47999999999999</v>
      </c>
      <c r="D33" s="41">
        <v>8.8720999999999997</v>
      </c>
      <c r="E33" s="41">
        <v>1242.8</v>
      </c>
      <c r="F33" s="42">
        <v>33.286999999999999</v>
      </c>
      <c r="G33" s="18">
        <f t="shared" si="8"/>
        <v>110</v>
      </c>
      <c r="H33" s="19">
        <f t="shared" si="10"/>
        <v>7.2399999999999999E-3</v>
      </c>
      <c r="I33" s="11">
        <f t="shared" si="11"/>
        <v>0</v>
      </c>
      <c r="J33" s="11">
        <f t="shared" si="12"/>
        <v>0</v>
      </c>
      <c r="K33" s="11">
        <f t="shared" si="13"/>
        <v>0</v>
      </c>
      <c r="L33" s="12">
        <f t="shared" si="14"/>
        <v>0</v>
      </c>
      <c r="N33" s="10">
        <v>0.55000000000000004</v>
      </c>
      <c r="O33" s="12">
        <f t="shared" si="9"/>
        <v>82.877850000000009</v>
      </c>
      <c r="Q33" s="18">
        <v>82.877849999999995</v>
      </c>
      <c r="R33" s="20">
        <v>1.5418798429E-2</v>
      </c>
      <c r="S33" s="21">
        <v>105.48090000000001</v>
      </c>
      <c r="T33" s="21">
        <v>31.934390979</v>
      </c>
      <c r="U33" s="22">
        <v>1.5225256479E-4</v>
      </c>
      <c r="V33" s="21">
        <v>105.48090000000001</v>
      </c>
      <c r="W33" s="21">
        <v>0.61699624803999997</v>
      </c>
      <c r="X33" s="23">
        <v>9.5221259223000001E-6</v>
      </c>
    </row>
    <row r="34" spans="1:24" x14ac:dyDescent="0.2">
      <c r="A34" s="40">
        <f>115/$B$25</f>
        <v>0.76317134192066993</v>
      </c>
      <c r="B34" s="41">
        <v>6.02</v>
      </c>
      <c r="C34" s="41"/>
      <c r="D34" s="41"/>
      <c r="E34" s="41"/>
      <c r="F34" s="42"/>
      <c r="G34" s="18">
        <f t="shared" si="8"/>
        <v>115</v>
      </c>
      <c r="H34" s="19">
        <f t="shared" si="10"/>
        <v>6.0199999999999993E-3</v>
      </c>
      <c r="I34" s="11">
        <f t="shared" si="11"/>
        <v>1.4247999999999998E-4</v>
      </c>
      <c r="J34" s="11">
        <f t="shared" si="12"/>
        <v>8.8720999999999993E-6</v>
      </c>
      <c r="K34" s="11">
        <f t="shared" si="13"/>
        <v>31.110443576649647</v>
      </c>
      <c r="L34" s="12">
        <f t="shared" si="14"/>
        <v>0.83325823570641844</v>
      </c>
      <c r="N34" s="10">
        <v>0.6</v>
      </c>
      <c r="O34" s="12">
        <f t="shared" si="9"/>
        <v>90.412199999999999</v>
      </c>
      <c r="Q34" s="18">
        <v>90.412199999999999</v>
      </c>
      <c r="R34" s="20">
        <v>1.3045127005000001E-2</v>
      </c>
      <c r="S34" s="21">
        <v>97.946550000000002</v>
      </c>
      <c r="T34" s="21">
        <v>33.129913651999999</v>
      </c>
      <c r="U34" s="22">
        <v>1.8519673985E-4</v>
      </c>
      <c r="V34" s="21">
        <v>97.946550000000002</v>
      </c>
      <c r="W34" s="21">
        <v>0.35964651491999999</v>
      </c>
      <c r="X34" s="23">
        <v>9.0836733724000006E-6</v>
      </c>
    </row>
    <row r="35" spans="1:24" x14ac:dyDescent="0.2">
      <c r="A35" s="40">
        <f>120/$B$25</f>
        <v>0.796352704612873</v>
      </c>
      <c r="B35" s="41">
        <v>5.16</v>
      </c>
      <c r="C35" s="41">
        <v>111.66</v>
      </c>
      <c r="D35" s="41">
        <v>9.9016999999999999</v>
      </c>
      <c r="E35" s="41">
        <v>1162.8</v>
      </c>
      <c r="F35" s="42">
        <v>60.143999999999998</v>
      </c>
      <c r="G35" s="18">
        <f t="shared" si="8"/>
        <v>120</v>
      </c>
      <c r="H35" s="19">
        <f t="shared" si="10"/>
        <v>5.1600000000000005E-3</v>
      </c>
      <c r="I35" s="11">
        <f t="shared" si="11"/>
        <v>0</v>
      </c>
      <c r="J35" s="11">
        <f t="shared" si="12"/>
        <v>0</v>
      </c>
      <c r="K35" s="11">
        <f t="shared" si="13"/>
        <v>0</v>
      </c>
      <c r="L35" s="12">
        <f t="shared" si="14"/>
        <v>0</v>
      </c>
      <c r="N35" s="10">
        <v>0.65</v>
      </c>
      <c r="O35" s="12">
        <f t="shared" si="9"/>
        <v>97.946550000000016</v>
      </c>
      <c r="Q35" s="18">
        <v>97.946550000000002</v>
      </c>
      <c r="R35" s="20">
        <v>1.077594319E-2</v>
      </c>
      <c r="S35" s="21">
        <v>90.412199999999999</v>
      </c>
      <c r="T35" s="21">
        <v>34.244622624000002</v>
      </c>
      <c r="U35" s="22">
        <v>2.3265477059999999E-4</v>
      </c>
      <c r="V35" s="21">
        <v>90.412199999999999</v>
      </c>
      <c r="W35" s="21">
        <v>0.19319268297</v>
      </c>
      <c r="X35" s="23">
        <v>8.5762682919000003E-6</v>
      </c>
    </row>
    <row r="36" spans="1:24" x14ac:dyDescent="0.2">
      <c r="A36" s="40">
        <f>125/$B$25</f>
        <v>0.82953406730507606</v>
      </c>
      <c r="B36" s="41">
        <v>4.0599999999999996</v>
      </c>
      <c r="C36" s="41"/>
      <c r="D36" s="41"/>
      <c r="E36" s="41"/>
      <c r="F36" s="42"/>
      <c r="G36" s="18">
        <f t="shared" si="8"/>
        <v>125</v>
      </c>
      <c r="H36" s="19">
        <f t="shared" si="10"/>
        <v>4.0599999999999994E-3</v>
      </c>
      <c r="I36" s="11">
        <f t="shared" si="11"/>
        <v>1.1166E-4</v>
      </c>
      <c r="J36" s="11">
        <f t="shared" si="12"/>
        <v>9.9017000000000004E-6</v>
      </c>
      <c r="K36" s="11">
        <f t="shared" si="13"/>
        <v>29.107840192249924</v>
      </c>
      <c r="L36" s="12">
        <f t="shared" si="14"/>
        <v>1.5055572243917092</v>
      </c>
      <c r="N36" s="10">
        <v>0.7</v>
      </c>
      <c r="O36" s="12">
        <f t="shared" si="9"/>
        <v>105.48090000000001</v>
      </c>
      <c r="Q36" s="18">
        <v>105.48090000000001</v>
      </c>
      <c r="R36" s="20">
        <v>8.6229370191E-3</v>
      </c>
      <c r="S36" s="21">
        <v>82.877849999999995</v>
      </c>
      <c r="T36" s="21">
        <v>35.304978706999997</v>
      </c>
      <c r="U36" s="22">
        <v>3.0471024730000001E-4</v>
      </c>
      <c r="V36" s="21">
        <v>82.877849999999995</v>
      </c>
      <c r="W36" s="21">
        <v>9.2831909753E-2</v>
      </c>
      <c r="X36" s="23">
        <v>7.9915494533000006E-6</v>
      </c>
    </row>
    <row r="37" spans="1:24" x14ac:dyDescent="0.2">
      <c r="A37" s="40">
        <f>130/$B$25</f>
        <v>0.86271542999727902</v>
      </c>
      <c r="B37" s="41">
        <v>3.09</v>
      </c>
      <c r="C37" s="41">
        <v>86.679000000000002</v>
      </c>
      <c r="D37" s="41">
        <v>11.247999999999999</v>
      </c>
      <c r="E37" s="41">
        <v>1068.0999999999999</v>
      </c>
      <c r="F37" s="42">
        <v>103.56</v>
      </c>
      <c r="G37" s="18">
        <f t="shared" si="8"/>
        <v>130</v>
      </c>
      <c r="H37" s="19">
        <f t="shared" si="10"/>
        <v>3.0899999999999999E-3</v>
      </c>
      <c r="I37" s="11">
        <f t="shared" si="11"/>
        <v>0</v>
      </c>
      <c r="J37" s="11">
        <f t="shared" si="12"/>
        <v>0</v>
      </c>
      <c r="K37" s="11">
        <f t="shared" si="13"/>
        <v>0</v>
      </c>
      <c r="L37" s="12">
        <f t="shared" si="14"/>
        <v>0</v>
      </c>
      <c r="N37" s="10">
        <v>0.75</v>
      </c>
      <c r="O37" s="12">
        <f t="shared" si="9"/>
        <v>113.01525000000001</v>
      </c>
      <c r="Q37" s="18">
        <v>113.01524999999999</v>
      </c>
      <c r="R37" s="20">
        <v>6.6009593064999999E-3</v>
      </c>
      <c r="S37" s="21">
        <v>75.343500000000006</v>
      </c>
      <c r="T37" s="21">
        <v>36.330310650999998</v>
      </c>
      <c r="U37" s="22">
        <v>4.1999322962999998E-4</v>
      </c>
      <c r="V37" s="21">
        <v>75.343500000000006</v>
      </c>
      <c r="W37" s="21">
        <v>3.8277702588E-2</v>
      </c>
      <c r="X37" s="23">
        <v>7.3388748550000001E-6</v>
      </c>
    </row>
    <row r="38" spans="1:24" x14ac:dyDescent="0.2">
      <c r="A38" s="40">
        <f>135/$B$25</f>
        <v>0.89589679268948208</v>
      </c>
      <c r="B38" s="41">
        <v>2.11</v>
      </c>
      <c r="C38" s="41"/>
      <c r="D38" s="41"/>
      <c r="E38" s="41"/>
      <c r="F38" s="42"/>
      <c r="G38" s="18">
        <f t="shared" si="8"/>
        <v>135</v>
      </c>
      <c r="H38" s="19">
        <f t="shared" si="10"/>
        <v>2.1099999999999999E-3</v>
      </c>
      <c r="I38" s="11">
        <f t="shared" si="11"/>
        <v>8.6679000000000001E-5</v>
      </c>
      <c r="J38" s="11">
        <f t="shared" si="12"/>
        <v>1.1248E-5</v>
      </c>
      <c r="K38" s="11">
        <f t="shared" si="13"/>
        <v>26.737258435966755</v>
      </c>
      <c r="L38" s="12">
        <f t="shared" si="14"/>
        <v>2.5923700811054373</v>
      </c>
      <c r="N38" s="10">
        <v>0.8</v>
      </c>
      <c r="O38" s="12">
        <f t="shared" si="9"/>
        <v>120.54960000000001</v>
      </c>
      <c r="Q38" s="24">
        <v>120.5496</v>
      </c>
      <c r="R38" s="25">
        <v>4.7304791961999999E-3</v>
      </c>
      <c r="S38" s="21">
        <v>67.809150000000002</v>
      </c>
      <c r="T38" s="21">
        <v>37.335018914000003</v>
      </c>
      <c r="U38" s="22">
        <v>6.1479539932999996E-4</v>
      </c>
      <c r="V38" s="21">
        <v>67.809150000000002</v>
      </c>
      <c r="W38" s="21">
        <v>1.2756943892E-2</v>
      </c>
      <c r="X38" s="23">
        <v>6.6390094323000002E-6</v>
      </c>
    </row>
    <row r="39" spans="1:24" x14ac:dyDescent="0.2">
      <c r="A39" s="40">
        <f>140/$B$25</f>
        <v>0.92907815538168514</v>
      </c>
      <c r="B39" s="41"/>
      <c r="C39" s="41">
        <v>64.471000000000004</v>
      </c>
      <c r="D39" s="41">
        <v>13.37</v>
      </c>
      <c r="E39" s="41">
        <v>943.71</v>
      </c>
      <c r="F39" s="42">
        <v>178.86</v>
      </c>
      <c r="G39" s="18">
        <f t="shared" si="8"/>
        <v>140</v>
      </c>
      <c r="H39" s="11"/>
      <c r="I39" s="11">
        <f t="shared" si="11"/>
        <v>0</v>
      </c>
      <c r="J39" s="11">
        <f t="shared" si="12"/>
        <v>0</v>
      </c>
      <c r="K39" s="11">
        <f t="shared" si="13"/>
        <v>0</v>
      </c>
      <c r="L39" s="12">
        <f t="shared" si="14"/>
        <v>0</v>
      </c>
      <c r="N39" s="10">
        <v>0.85</v>
      </c>
      <c r="O39" s="12">
        <f t="shared" si="9"/>
        <v>128.08395000000002</v>
      </c>
      <c r="Q39" s="24">
        <v>128.08394999999999</v>
      </c>
      <c r="R39" s="25">
        <v>3.0430686237E-3</v>
      </c>
      <c r="S39" s="21">
        <v>60.274799999999999</v>
      </c>
      <c r="T39" s="21">
        <v>38.329529399000002</v>
      </c>
      <c r="U39" s="22">
        <v>9.6376153867999996E-4</v>
      </c>
      <c r="V39" s="21">
        <v>60.274799999999999</v>
      </c>
      <c r="W39" s="21">
        <v>3.1440198546000002E-3</v>
      </c>
      <c r="X39" s="23">
        <v>5.9168392621999999E-6</v>
      </c>
    </row>
    <row r="40" spans="1:24" x14ac:dyDescent="0.2">
      <c r="A40" s="40">
        <f>145/$B$25</f>
        <v>0.96225951807388821</v>
      </c>
      <c r="B40" s="41"/>
      <c r="C40" s="41"/>
      <c r="D40" s="41"/>
      <c r="E40" s="41"/>
      <c r="F40" s="42"/>
      <c r="G40" s="18">
        <f t="shared" si="8"/>
        <v>145</v>
      </c>
      <c r="H40" s="11"/>
      <c r="I40" s="11">
        <f t="shared" si="11"/>
        <v>6.4471E-5</v>
      </c>
      <c r="J40" s="11">
        <f t="shared" si="12"/>
        <v>1.3369999999999999E-5</v>
      </c>
      <c r="K40" s="11">
        <f t="shared" si="13"/>
        <v>23.623460498648246</v>
      </c>
      <c r="L40" s="12">
        <f t="shared" si="14"/>
        <v>4.4773205166716732</v>
      </c>
      <c r="N40" s="10">
        <v>0.9</v>
      </c>
      <c r="O40" s="12">
        <f t="shared" si="9"/>
        <v>135.6183</v>
      </c>
      <c r="Q40" s="24">
        <v>135.6183</v>
      </c>
      <c r="R40" s="25">
        <v>1.5945441399E-3</v>
      </c>
      <c r="S40" s="21">
        <v>52.740450000000003</v>
      </c>
      <c r="T40" s="21">
        <v>39.320395787999999</v>
      </c>
      <c r="U40" s="22">
        <v>1.6298992751E-3</v>
      </c>
      <c r="V40" s="21">
        <v>52.740450000000003</v>
      </c>
      <c r="W40" s="21">
        <v>4.9931298312999996E-4</v>
      </c>
      <c r="X40" s="23">
        <v>5.1944429279999996E-6</v>
      </c>
    </row>
    <row r="41" spans="1:24" ht="15" thickBot="1" x14ac:dyDescent="0.25">
      <c r="A41" s="40">
        <f>150/$B$25</f>
        <v>0.99544088076609127</v>
      </c>
      <c r="B41" s="41"/>
      <c r="C41" s="41">
        <v>36.712000000000003</v>
      </c>
      <c r="D41" s="41">
        <v>20.533000000000001</v>
      </c>
      <c r="E41" s="41">
        <v>680.43</v>
      </c>
      <c r="F41" s="42">
        <v>394.5</v>
      </c>
      <c r="G41" s="18">
        <f t="shared" si="8"/>
        <v>150</v>
      </c>
      <c r="H41" s="11"/>
      <c r="I41" s="11">
        <f t="shared" si="11"/>
        <v>0</v>
      </c>
      <c r="J41" s="11">
        <f t="shared" si="12"/>
        <v>0</v>
      </c>
      <c r="K41" s="11">
        <f t="shared" si="13"/>
        <v>0</v>
      </c>
      <c r="L41" s="12">
        <f t="shared" si="14"/>
        <v>0</v>
      </c>
      <c r="N41" s="14">
        <v>0.95</v>
      </c>
      <c r="O41" s="16">
        <f t="shared" si="9"/>
        <v>143.15264999999999</v>
      </c>
      <c r="Q41" s="24">
        <v>143.15264999999999</v>
      </c>
      <c r="R41" s="25">
        <v>4.9520152291999996E-4</v>
      </c>
      <c r="S41" s="21">
        <v>45.206099999999999</v>
      </c>
      <c r="T41" s="21">
        <v>40.309467108</v>
      </c>
      <c r="U41" s="22">
        <v>2.9952245933000002E-3</v>
      </c>
      <c r="V41" s="21">
        <v>45.206099999999999</v>
      </c>
      <c r="W41" s="21">
        <v>4.0750998698999999E-5</v>
      </c>
      <c r="X41" s="26">
        <v>4.4867468159000003E-6</v>
      </c>
    </row>
    <row r="42" spans="1:24" ht="15" thickBot="1" x14ac:dyDescent="0.25">
      <c r="A42" s="44"/>
      <c r="B42" s="45"/>
      <c r="C42" s="45"/>
      <c r="D42" s="45"/>
      <c r="E42" s="45"/>
      <c r="F42" s="46"/>
      <c r="G42" s="14"/>
      <c r="H42" s="15"/>
      <c r="I42" s="15">
        <f t="shared" si="11"/>
        <v>3.6712000000000004E-5</v>
      </c>
      <c r="J42" s="15">
        <f t="shared" si="12"/>
        <v>2.0533000000000001E-5</v>
      </c>
      <c r="K42" s="15">
        <f t="shared" si="13"/>
        <v>17.032892760588766</v>
      </c>
      <c r="L42" s="16">
        <f t="shared" si="14"/>
        <v>9.8753379393211187</v>
      </c>
      <c r="Q42" s="55" t="s">
        <v>155</v>
      </c>
      <c r="R42" s="56"/>
      <c r="S42" s="56"/>
      <c r="T42" s="56"/>
      <c r="U42" s="56"/>
      <c r="V42" s="56"/>
      <c r="W42" s="56"/>
      <c r="X42" s="57"/>
    </row>
    <row r="43" spans="1:24" x14ac:dyDescent="0.2">
      <c r="A43" t="s">
        <v>7</v>
      </c>
      <c r="B43" t="s">
        <v>8</v>
      </c>
      <c r="C43" t="s">
        <v>16</v>
      </c>
      <c r="D43" t="s">
        <v>16</v>
      </c>
      <c r="E43" t="s">
        <v>16</v>
      </c>
      <c r="F43" t="s">
        <v>16</v>
      </c>
      <c r="Q43" s="10" t="s">
        <v>84</v>
      </c>
      <c r="R43" s="11" t="s">
        <v>102</v>
      </c>
      <c r="S43" s="11" t="s">
        <v>136</v>
      </c>
      <c r="T43" s="11" t="s">
        <v>132</v>
      </c>
      <c r="U43" s="11" t="s">
        <v>134</v>
      </c>
      <c r="V43" s="11" t="s">
        <v>84</v>
      </c>
      <c r="W43" s="11" t="s">
        <v>133</v>
      </c>
      <c r="X43" s="12" t="s">
        <v>135</v>
      </c>
    </row>
    <row r="44" spans="1:24" x14ac:dyDescent="0.2">
      <c r="Q44" s="10" t="s">
        <v>79</v>
      </c>
      <c r="R44" s="11" t="s">
        <v>145</v>
      </c>
      <c r="S44" s="11" t="s">
        <v>79</v>
      </c>
      <c r="T44" s="11" t="s">
        <v>137</v>
      </c>
      <c r="U44" s="11" t="s">
        <v>138</v>
      </c>
      <c r="V44" s="11" t="s">
        <v>79</v>
      </c>
      <c r="W44" s="11" t="s">
        <v>137</v>
      </c>
      <c r="X44" s="12" t="s">
        <v>138</v>
      </c>
    </row>
    <row r="45" spans="1:24" x14ac:dyDescent="0.2">
      <c r="Q45" s="27">
        <f t="shared" ref="Q45:Q58" si="15">Q28/$B$25</f>
        <v>0.3</v>
      </c>
      <c r="R45" s="28">
        <f t="shared" ref="R45:R58" si="16">R28*1000</f>
        <v>28.680832241000001</v>
      </c>
      <c r="S45" s="29">
        <v>0.3</v>
      </c>
      <c r="T45" s="30">
        <v>1610.2825920303801</v>
      </c>
      <c r="U45" s="30">
        <v>2995.2249999999999</v>
      </c>
      <c r="V45" s="29">
        <v>0.3</v>
      </c>
      <c r="W45" s="28">
        <v>1.627920948E-3</v>
      </c>
      <c r="X45" s="31">
        <v>4.4870000000000001</v>
      </c>
    </row>
    <row r="46" spans="1:24" ht="15.75" thickBot="1" x14ac:dyDescent="0.3">
      <c r="A46" s="17" t="s">
        <v>149</v>
      </c>
      <c r="Q46" s="27">
        <f t="shared" si="15"/>
        <v>0.35</v>
      </c>
      <c r="R46" s="28">
        <f t="shared" si="16"/>
        <v>25.836036281000002</v>
      </c>
      <c r="S46" s="29">
        <v>0.35</v>
      </c>
      <c r="T46" s="30">
        <v>1570.7711709390201</v>
      </c>
      <c r="U46" s="30">
        <v>1629.8989999999999</v>
      </c>
      <c r="V46" s="29">
        <v>0.35</v>
      </c>
      <c r="W46" s="28">
        <v>1.9946555724E-2</v>
      </c>
      <c r="X46" s="31">
        <v>5.194</v>
      </c>
    </row>
    <row r="47" spans="1:24" x14ac:dyDescent="0.2">
      <c r="A47" s="7" t="s">
        <v>22</v>
      </c>
      <c r="B47" s="8"/>
      <c r="C47" s="8" t="s">
        <v>23</v>
      </c>
      <c r="D47" s="8"/>
      <c r="E47" s="8"/>
      <c r="F47" s="9"/>
      <c r="Q47" s="27">
        <f t="shared" si="15"/>
        <v>0.39999999999999997</v>
      </c>
      <c r="R47" s="28">
        <f t="shared" si="16"/>
        <v>23.095720126</v>
      </c>
      <c r="S47" s="29">
        <v>0.4</v>
      </c>
      <c r="T47" s="30">
        <v>1531.1880404312501</v>
      </c>
      <c r="U47" s="30">
        <v>963.76199999999903</v>
      </c>
      <c r="V47" s="29">
        <v>0.4</v>
      </c>
      <c r="W47" s="28">
        <v>0.12559731096000001</v>
      </c>
      <c r="X47" s="31">
        <v>5.9169999999999998</v>
      </c>
    </row>
    <row r="48" spans="1:24" x14ac:dyDescent="0.2">
      <c r="A48" s="10" t="s">
        <v>20</v>
      </c>
      <c r="B48" s="11" t="s">
        <v>42</v>
      </c>
      <c r="C48" s="11" t="s">
        <v>21</v>
      </c>
      <c r="D48" s="11"/>
      <c r="E48" s="11"/>
      <c r="F48" s="12"/>
      <c r="Q48" s="27">
        <f t="shared" si="15"/>
        <v>0.44999999999999996</v>
      </c>
      <c r="R48" s="28">
        <f t="shared" si="16"/>
        <v>20.447928491000003</v>
      </c>
      <c r="S48" s="29">
        <v>0.45</v>
      </c>
      <c r="T48" s="30">
        <v>1491.45933557647</v>
      </c>
      <c r="U48" s="30">
        <v>614.79499999999996</v>
      </c>
      <c r="V48" s="29">
        <v>0.45</v>
      </c>
      <c r="W48" s="28">
        <v>0.509614398912</v>
      </c>
      <c r="X48" s="31">
        <v>6.6390000000000002</v>
      </c>
    </row>
    <row r="49" spans="1:24" x14ac:dyDescent="0.2">
      <c r="A49" s="10" t="s">
        <v>24</v>
      </c>
      <c r="B49" s="11" t="s">
        <v>43</v>
      </c>
      <c r="C49" s="11" t="s">
        <v>25</v>
      </c>
      <c r="D49" s="11"/>
      <c r="E49" s="11"/>
      <c r="F49" s="12"/>
      <c r="Q49" s="27">
        <f t="shared" si="15"/>
        <v>0.5</v>
      </c>
      <c r="R49" s="28">
        <f t="shared" si="16"/>
        <v>17.888470327</v>
      </c>
      <c r="S49" s="29">
        <v>0.5</v>
      </c>
      <c r="T49" s="30">
        <v>1451.32324988614</v>
      </c>
      <c r="U49" s="30">
        <v>419.99299999999999</v>
      </c>
      <c r="V49" s="29">
        <v>0.5</v>
      </c>
      <c r="W49" s="28">
        <v>1.529117679444</v>
      </c>
      <c r="X49" s="31">
        <v>7.3390000000000004</v>
      </c>
    </row>
    <row r="50" spans="1:24" x14ac:dyDescent="0.2">
      <c r="A50" s="10" t="s">
        <v>26</v>
      </c>
      <c r="B50" s="11" t="s">
        <v>44</v>
      </c>
      <c r="C50" s="11" t="s">
        <v>27</v>
      </c>
      <c r="D50" s="11"/>
      <c r="E50" s="11"/>
      <c r="F50" s="12"/>
      <c r="Q50" s="27">
        <f t="shared" si="15"/>
        <v>0.54999999999999993</v>
      </c>
      <c r="R50" s="28">
        <f t="shared" si="16"/>
        <v>15.418798428999999</v>
      </c>
      <c r="S50" s="29">
        <v>0.55000000000000004</v>
      </c>
      <c r="T50" s="30">
        <v>1410.36328938723</v>
      </c>
      <c r="U50" s="30">
        <v>304.70999999999998</v>
      </c>
      <c r="V50" s="29">
        <v>0.55000000000000004</v>
      </c>
      <c r="W50" s="28">
        <v>3.70844914068</v>
      </c>
      <c r="X50" s="31">
        <v>7.992</v>
      </c>
    </row>
    <row r="51" spans="1:24" x14ac:dyDescent="0.2">
      <c r="A51" s="10" t="s">
        <v>28</v>
      </c>
      <c r="B51" s="11"/>
      <c r="C51" s="11">
        <v>136.30000000000001</v>
      </c>
      <c r="D51" s="11">
        <v>1000</v>
      </c>
      <c r="E51" s="11">
        <f>C51/D51</f>
        <v>0.1363</v>
      </c>
      <c r="F51" s="12" t="s">
        <v>30</v>
      </c>
      <c r="Q51" s="27">
        <f t="shared" si="15"/>
        <v>0.6</v>
      </c>
      <c r="R51" s="28">
        <f t="shared" si="16"/>
        <v>13.045127005000001</v>
      </c>
      <c r="S51" s="29">
        <v>0.6</v>
      </c>
      <c r="T51" s="30">
        <v>1368.0041845835501</v>
      </c>
      <c r="U51" s="30">
        <v>232.655</v>
      </c>
      <c r="V51" s="29">
        <v>0.6</v>
      </c>
      <c r="W51" s="28">
        <v>7.717661300484</v>
      </c>
      <c r="X51" s="31">
        <v>8.5760000000000005</v>
      </c>
    </row>
    <row r="52" spans="1:24" x14ac:dyDescent="0.2">
      <c r="A52" s="10" t="s">
        <v>29</v>
      </c>
      <c r="B52" s="11"/>
      <c r="C52" s="11">
        <v>32.200000000000003</v>
      </c>
      <c r="D52" s="11">
        <v>1000000</v>
      </c>
      <c r="E52" s="11">
        <f>C52/D52</f>
        <v>3.2200000000000003E-5</v>
      </c>
      <c r="F52" s="12" t="s">
        <v>31</v>
      </c>
      <c r="Q52" s="27">
        <f t="shared" si="15"/>
        <v>0.64999999999999991</v>
      </c>
      <c r="R52" s="28">
        <f t="shared" si="16"/>
        <v>10.77594319</v>
      </c>
      <c r="S52" s="29">
        <v>0.65</v>
      </c>
      <c r="T52" s="30">
        <v>1323.4737905700899</v>
      </c>
      <c r="U52" s="30">
        <v>185.197</v>
      </c>
      <c r="V52" s="29">
        <v>0.65</v>
      </c>
      <c r="W52" s="28">
        <v>14.3671589812199</v>
      </c>
      <c r="X52" s="31">
        <v>9.0839999999999996</v>
      </c>
    </row>
    <row r="53" spans="1:24" x14ac:dyDescent="0.2">
      <c r="A53" s="10"/>
      <c r="B53" s="11"/>
      <c r="C53" s="11"/>
      <c r="D53" s="11"/>
      <c r="E53" s="11"/>
      <c r="F53" s="12"/>
      <c r="Q53" s="27">
        <f t="shared" si="15"/>
        <v>0.7</v>
      </c>
      <c r="R53" s="28">
        <f t="shared" si="16"/>
        <v>8.6229370191000001</v>
      </c>
      <c r="S53" s="29">
        <v>0.7</v>
      </c>
      <c r="T53" s="30">
        <v>1275.7150508290899</v>
      </c>
      <c r="U53" s="30">
        <v>152.25299999999999</v>
      </c>
      <c r="V53" s="29">
        <v>0.7</v>
      </c>
      <c r="W53" s="30">
        <v>24.647766115103899</v>
      </c>
      <c r="X53" s="31">
        <v>9.5220000000000002</v>
      </c>
    </row>
    <row r="54" spans="1:24" x14ac:dyDescent="0.2">
      <c r="A54" s="10" t="s">
        <v>32</v>
      </c>
      <c r="B54" s="11"/>
      <c r="C54" s="11" t="s">
        <v>33</v>
      </c>
      <c r="D54" s="11">
        <v>8.3140000000000001</v>
      </c>
      <c r="E54" s="11"/>
      <c r="F54" s="12"/>
      <c r="Q54" s="27">
        <f t="shared" si="15"/>
        <v>0.74999999999999989</v>
      </c>
      <c r="R54" s="28">
        <f t="shared" si="16"/>
        <v>6.6009593065000001</v>
      </c>
      <c r="S54" s="29">
        <v>0.75</v>
      </c>
      <c r="T54" s="30">
        <v>1223.20569512782</v>
      </c>
      <c r="U54" s="30">
        <v>128.04599999999999</v>
      </c>
      <c r="V54" s="29">
        <v>0.75</v>
      </c>
      <c r="W54" s="30">
        <v>39.843263175108</v>
      </c>
      <c r="X54" s="31">
        <v>9.9239999999999906</v>
      </c>
    </row>
    <row r="55" spans="1:24" x14ac:dyDescent="0.2">
      <c r="A55" s="10" t="s">
        <v>34</v>
      </c>
      <c r="B55" s="11"/>
      <c r="C55" s="11" t="s">
        <v>35</v>
      </c>
      <c r="D55" s="11">
        <v>150.68700000000001</v>
      </c>
      <c r="E55" s="11"/>
      <c r="F55" s="12"/>
      <c r="Q55" s="27">
        <f t="shared" si="15"/>
        <v>0.79999999999999993</v>
      </c>
      <c r="R55" s="28">
        <f t="shared" si="16"/>
        <v>4.7304791962000001</v>
      </c>
      <c r="S55" s="29">
        <v>0.8</v>
      </c>
      <c r="T55" s="30">
        <v>1163.5774418799699</v>
      </c>
      <c r="U55" s="30">
        <v>109.021</v>
      </c>
      <c r="V55" s="29">
        <v>0.8</v>
      </c>
      <c r="W55" s="30">
        <v>61.774544996628002</v>
      </c>
      <c r="X55" s="31">
        <v>10.352</v>
      </c>
    </row>
    <row r="56" spans="1:24" x14ac:dyDescent="0.2">
      <c r="A56" s="10" t="s">
        <v>36</v>
      </c>
      <c r="B56" s="11"/>
      <c r="C56" s="11" t="s">
        <v>37</v>
      </c>
      <c r="D56" s="11">
        <v>4863000</v>
      </c>
      <c r="E56" s="11"/>
      <c r="F56" s="12"/>
      <c r="Q56" s="27">
        <f t="shared" si="15"/>
        <v>0.84999999999999987</v>
      </c>
      <c r="R56" s="28">
        <f t="shared" si="16"/>
        <v>3.0430686237</v>
      </c>
      <c r="S56" s="29">
        <v>0.85</v>
      </c>
      <c r="T56" s="30">
        <v>1092.7218300771699</v>
      </c>
      <c r="U56" s="28">
        <v>92.713999999999899</v>
      </c>
      <c r="V56" s="29">
        <v>0.85</v>
      </c>
      <c r="W56" s="30">
        <v>93.355608492611907</v>
      </c>
      <c r="X56" s="31">
        <v>10.924999999999899</v>
      </c>
    </row>
    <row r="57" spans="1:24" x14ac:dyDescent="0.2">
      <c r="A57" s="10" t="s">
        <v>38</v>
      </c>
      <c r="B57" s="11"/>
      <c r="C57" s="11">
        <f>27/64*D54^2*D55^2/D56</f>
        <v>0.13616049898618721</v>
      </c>
      <c r="D57" s="11"/>
      <c r="E57" s="11"/>
      <c r="F57" s="12"/>
      <c r="Q57" s="27">
        <f t="shared" si="15"/>
        <v>0.89999999999999991</v>
      </c>
      <c r="R57" s="28">
        <f t="shared" si="16"/>
        <v>1.5945441399</v>
      </c>
      <c r="S57" s="29">
        <v>0.9</v>
      </c>
      <c r="T57" s="30">
        <v>1002.27303580716</v>
      </c>
      <c r="U57" s="28">
        <v>76.986999999999895</v>
      </c>
      <c r="V57" s="29">
        <v>0.9</v>
      </c>
      <c r="W57" s="30">
        <v>140.12319441081601</v>
      </c>
      <c r="X57" s="31">
        <v>11.875</v>
      </c>
    </row>
    <row r="58" spans="1:24" ht="15" thickBot="1" x14ac:dyDescent="0.25">
      <c r="A58" s="10" t="s">
        <v>39</v>
      </c>
      <c r="B58" s="11"/>
      <c r="C58" s="13">
        <f>D54*D55/8/D56</f>
        <v>3.2202645434916723E-5</v>
      </c>
      <c r="D58" s="11"/>
      <c r="E58" s="11"/>
      <c r="F58" s="12"/>
      <c r="Q58" s="32">
        <f t="shared" si="15"/>
        <v>0.94999999999999984</v>
      </c>
      <c r="R58" s="33">
        <f t="shared" si="16"/>
        <v>0.49520152291999997</v>
      </c>
      <c r="S58" s="34">
        <v>0.95</v>
      </c>
      <c r="T58" s="35">
        <v>869.93535189805198</v>
      </c>
      <c r="U58" s="33">
        <v>58.994</v>
      </c>
      <c r="V58" s="34">
        <v>0.95</v>
      </c>
      <c r="W58" s="35">
        <v>216.25812520526401</v>
      </c>
      <c r="X58" s="36">
        <v>13.708</v>
      </c>
    </row>
    <row r="59" spans="1:24" ht="15" thickBot="1" x14ac:dyDescent="0.25">
      <c r="A59" s="14" t="s">
        <v>49</v>
      </c>
      <c r="B59" s="15" t="s">
        <v>50</v>
      </c>
      <c r="C59" s="15">
        <v>3.9947999999999997E-2</v>
      </c>
      <c r="D59" s="15"/>
      <c r="E59" s="15"/>
      <c r="F59" s="16"/>
    </row>
    <row r="61" spans="1:24" ht="33" x14ac:dyDescent="0.2">
      <c r="A61" s="47" t="s">
        <v>56</v>
      </c>
      <c r="B61" s="47" t="s">
        <v>57</v>
      </c>
      <c r="C61" s="47" t="s">
        <v>58</v>
      </c>
      <c r="D61" s="47" t="s">
        <v>59</v>
      </c>
      <c r="E61" s="47" t="s">
        <v>148</v>
      </c>
      <c r="F61" s="47"/>
      <c r="G61" s="48"/>
      <c r="H61" s="49" t="s">
        <v>147</v>
      </c>
      <c r="I61" s="49" t="s">
        <v>146</v>
      </c>
    </row>
    <row r="62" spans="1:24" x14ac:dyDescent="0.2">
      <c r="A62" s="50">
        <v>149.63999999999999</v>
      </c>
      <c r="B62" s="50">
        <v>3.48</v>
      </c>
      <c r="C62" s="50">
        <v>163.04</v>
      </c>
      <c r="D62" s="50">
        <v>14.49</v>
      </c>
      <c r="E62" s="48" t="s">
        <v>60</v>
      </c>
      <c r="F62" s="50"/>
      <c r="G62" s="48"/>
      <c r="H62" s="48">
        <f>C62/$C$59/1000</f>
        <v>4.0813056974066289</v>
      </c>
      <c r="I62" s="48">
        <f>D62/10^6</f>
        <v>1.449E-5</v>
      </c>
      <c r="K62" s="2" t="s">
        <v>63</v>
      </c>
      <c r="L62" s="2"/>
      <c r="M62" s="2"/>
    </row>
    <row r="63" spans="1:24" x14ac:dyDescent="0.2">
      <c r="A63" s="50" t="s">
        <v>51</v>
      </c>
      <c r="B63" s="50">
        <v>3.04</v>
      </c>
      <c r="C63" s="50">
        <v>97.81</v>
      </c>
      <c r="D63" s="50">
        <v>15.43</v>
      </c>
      <c r="E63" s="48" t="s">
        <v>60</v>
      </c>
      <c r="F63" s="50"/>
      <c r="G63" s="48"/>
      <c r="H63" s="48">
        <f t="shared" ref="H63:H80" si="17">C63/$C$59/1000</f>
        <v>2.4484329628517076</v>
      </c>
      <c r="I63" s="48">
        <f t="shared" ref="I63:I80" si="18">D63/10^6</f>
        <v>1.543E-5</v>
      </c>
    </row>
    <row r="64" spans="1:24" x14ac:dyDescent="0.2">
      <c r="A64" s="50" t="s">
        <v>52</v>
      </c>
      <c r="B64" s="50">
        <v>0.28000000000000003</v>
      </c>
      <c r="C64" s="50">
        <v>6.85</v>
      </c>
      <c r="D64" s="50">
        <v>15.74</v>
      </c>
      <c r="E64" s="48" t="s">
        <v>60</v>
      </c>
      <c r="F64" s="50"/>
      <c r="G64" s="48"/>
      <c r="H64" s="48">
        <f t="shared" si="17"/>
        <v>0.17147291478922599</v>
      </c>
      <c r="I64" s="48">
        <f t="shared" si="18"/>
        <v>1.5740000000000002E-5</v>
      </c>
    </row>
    <row r="65" spans="1:9" x14ac:dyDescent="0.2">
      <c r="A65" s="50" t="s">
        <v>52</v>
      </c>
      <c r="B65" s="50">
        <v>0.43</v>
      </c>
      <c r="C65" s="50">
        <v>10.45</v>
      </c>
      <c r="D65" s="50">
        <v>15.86</v>
      </c>
      <c r="E65" s="48" t="s">
        <v>60</v>
      </c>
      <c r="F65" s="50"/>
      <c r="G65" s="48"/>
      <c r="H65" s="48">
        <f t="shared" si="17"/>
        <v>0.26159006708721333</v>
      </c>
      <c r="I65" s="48">
        <f t="shared" si="18"/>
        <v>1.5860000000000001E-5</v>
      </c>
    </row>
    <row r="66" spans="1:9" x14ac:dyDescent="0.2">
      <c r="A66" s="50" t="s">
        <v>52</v>
      </c>
      <c r="B66" s="50">
        <v>1.02</v>
      </c>
      <c r="C66" s="50">
        <v>25.19</v>
      </c>
      <c r="D66" s="50">
        <v>16.18</v>
      </c>
      <c r="E66" s="48" t="s">
        <v>60</v>
      </c>
      <c r="F66" s="50"/>
      <c r="G66" s="48"/>
      <c r="H66" s="48">
        <f t="shared" si="17"/>
        <v>0.63056974066286187</v>
      </c>
      <c r="I66" s="48">
        <f t="shared" si="18"/>
        <v>1.6180000000000001E-5</v>
      </c>
    </row>
    <row r="67" spans="1:9" x14ac:dyDescent="0.2">
      <c r="A67" s="50" t="s">
        <v>52</v>
      </c>
      <c r="B67" s="50">
        <v>3.03</v>
      </c>
      <c r="C67" s="50">
        <v>80</v>
      </c>
      <c r="D67" s="50">
        <v>17.100000000000001</v>
      </c>
      <c r="E67" s="48" t="s">
        <v>60</v>
      </c>
      <c r="F67" s="50"/>
      <c r="G67" s="48"/>
      <c r="H67" s="48">
        <f t="shared" si="17"/>
        <v>2.0026033843997197</v>
      </c>
      <c r="I67" s="48">
        <f t="shared" si="18"/>
        <v>1.7100000000000002E-5</v>
      </c>
    </row>
    <row r="68" spans="1:9" x14ac:dyDescent="0.2">
      <c r="A68" s="50" t="s">
        <v>53</v>
      </c>
      <c r="B68" s="50">
        <v>0.32</v>
      </c>
      <c r="C68" s="50">
        <v>1383.36</v>
      </c>
      <c r="D68" s="50">
        <v>249.47</v>
      </c>
      <c r="E68" s="48" t="s">
        <v>61</v>
      </c>
      <c r="F68" s="50"/>
      <c r="G68" s="48"/>
      <c r="H68" s="48">
        <f t="shared" si="17"/>
        <v>34.629017723039951</v>
      </c>
      <c r="I68" s="48">
        <f t="shared" si="18"/>
        <v>2.4947000000000001E-4</v>
      </c>
    </row>
    <row r="69" spans="1:9" x14ac:dyDescent="0.2">
      <c r="A69" s="50" t="s">
        <v>53</v>
      </c>
      <c r="B69" s="50">
        <v>0.5</v>
      </c>
      <c r="C69" s="50">
        <v>1383.92</v>
      </c>
      <c r="D69" s="50">
        <v>250.06</v>
      </c>
      <c r="E69" s="48" t="s">
        <v>61</v>
      </c>
      <c r="F69" s="50"/>
      <c r="G69" s="48"/>
      <c r="H69" s="48">
        <f t="shared" si="17"/>
        <v>34.643035946730755</v>
      </c>
      <c r="I69" s="48">
        <f t="shared" si="18"/>
        <v>2.5006000000000003E-4</v>
      </c>
    </row>
    <row r="70" spans="1:9" x14ac:dyDescent="0.2">
      <c r="A70" s="50" t="s">
        <v>53</v>
      </c>
      <c r="B70" s="50">
        <v>0.99</v>
      </c>
      <c r="C70" s="50">
        <v>1385.42</v>
      </c>
      <c r="D70" s="50">
        <v>251.87</v>
      </c>
      <c r="E70" s="48" t="s">
        <v>61</v>
      </c>
      <c r="F70" s="50"/>
      <c r="G70" s="48"/>
      <c r="H70" s="48">
        <f t="shared" si="17"/>
        <v>34.680584760188246</v>
      </c>
      <c r="I70" s="48">
        <f t="shared" si="18"/>
        <v>2.5187000000000001E-4</v>
      </c>
    </row>
    <row r="71" spans="1:9" x14ac:dyDescent="0.2">
      <c r="A71" s="50" t="s">
        <v>53</v>
      </c>
      <c r="B71" s="50">
        <v>2.96</v>
      </c>
      <c r="C71" s="50">
        <v>1391.35</v>
      </c>
      <c r="D71" s="50">
        <v>259.05</v>
      </c>
      <c r="E71" s="48" t="s">
        <v>61</v>
      </c>
      <c r="F71" s="50"/>
      <c r="G71" s="48"/>
      <c r="H71" s="48">
        <f t="shared" si="17"/>
        <v>34.829027736056872</v>
      </c>
      <c r="I71" s="48">
        <f t="shared" si="18"/>
        <v>2.5905000000000004E-4</v>
      </c>
    </row>
    <row r="72" spans="1:9" x14ac:dyDescent="0.2">
      <c r="A72" s="50" t="s">
        <v>53</v>
      </c>
      <c r="B72" s="50">
        <v>4.49</v>
      </c>
      <c r="C72" s="50">
        <v>1395.83</v>
      </c>
      <c r="D72" s="50">
        <v>264.48</v>
      </c>
      <c r="E72" s="48" t="s">
        <v>61</v>
      </c>
      <c r="F72" s="50"/>
      <c r="G72" s="48"/>
      <c r="H72" s="48">
        <f t="shared" si="17"/>
        <v>34.94117352558326</v>
      </c>
      <c r="I72" s="48">
        <f t="shared" si="18"/>
        <v>2.6448000000000004E-4</v>
      </c>
    </row>
    <row r="73" spans="1:9" x14ac:dyDescent="0.2">
      <c r="A73" s="50" t="s">
        <v>54</v>
      </c>
      <c r="B73" s="50">
        <v>0.35</v>
      </c>
      <c r="C73" s="50">
        <v>1317.91</v>
      </c>
      <c r="D73" s="50">
        <v>183.42</v>
      </c>
      <c r="E73" s="48" t="s">
        <v>61</v>
      </c>
      <c r="F73" s="50"/>
      <c r="G73" s="48"/>
      <c r="H73" s="48">
        <f t="shared" si="17"/>
        <v>32.990637829177935</v>
      </c>
      <c r="I73" s="48">
        <f t="shared" si="18"/>
        <v>1.8341999999999998E-4</v>
      </c>
    </row>
    <row r="74" spans="1:9" x14ac:dyDescent="0.2">
      <c r="A74" s="50" t="s">
        <v>54</v>
      </c>
      <c r="B74" s="50">
        <v>0.53</v>
      </c>
      <c r="C74" s="50">
        <v>1318.63</v>
      </c>
      <c r="D74" s="50">
        <v>183.87</v>
      </c>
      <c r="E74" s="48" t="s">
        <v>61</v>
      </c>
      <c r="F74" s="50"/>
      <c r="G74" s="48"/>
      <c r="H74" s="48">
        <f t="shared" si="17"/>
        <v>33.008661259637535</v>
      </c>
      <c r="I74" s="48">
        <f t="shared" si="18"/>
        <v>1.8387000000000001E-4</v>
      </c>
    </row>
    <row r="75" spans="1:9" x14ac:dyDescent="0.2">
      <c r="A75" s="50" t="s">
        <v>54</v>
      </c>
      <c r="B75" s="50">
        <v>1.02</v>
      </c>
      <c r="C75" s="50">
        <v>1320.6</v>
      </c>
      <c r="D75" s="50">
        <v>185.22</v>
      </c>
      <c r="E75" s="48" t="s">
        <v>61</v>
      </c>
      <c r="F75" s="50"/>
      <c r="G75" s="48"/>
      <c r="H75" s="48">
        <f t="shared" si="17"/>
        <v>33.057975367978372</v>
      </c>
      <c r="I75" s="48">
        <f t="shared" si="18"/>
        <v>1.8521999999999999E-4</v>
      </c>
    </row>
    <row r="76" spans="1:9" x14ac:dyDescent="0.2">
      <c r="A76" s="50" t="s">
        <v>54</v>
      </c>
      <c r="B76" s="50">
        <v>2.97</v>
      </c>
      <c r="C76" s="50">
        <v>1328.23</v>
      </c>
      <c r="D76" s="50">
        <v>190.36</v>
      </c>
      <c r="E76" s="48" t="s">
        <v>61</v>
      </c>
      <c r="F76" s="50"/>
      <c r="G76" s="48"/>
      <c r="H76" s="48">
        <f t="shared" si="17"/>
        <v>33.248973665765504</v>
      </c>
      <c r="I76" s="48">
        <f t="shared" si="18"/>
        <v>1.9036000000000001E-4</v>
      </c>
    </row>
    <row r="77" spans="1:9" x14ac:dyDescent="0.2">
      <c r="A77" s="50" t="s">
        <v>54</v>
      </c>
      <c r="B77" s="50">
        <v>4.93</v>
      </c>
      <c r="C77" s="50">
        <v>1335.52</v>
      </c>
      <c r="D77" s="50">
        <v>195.35</v>
      </c>
      <c r="E77" s="48" t="s">
        <v>61</v>
      </c>
      <c r="F77" s="50"/>
      <c r="G77" s="48"/>
      <c r="H77" s="48">
        <f t="shared" si="17"/>
        <v>33.431460899168925</v>
      </c>
      <c r="I77" s="48">
        <f t="shared" si="18"/>
        <v>1.9535E-4</v>
      </c>
    </row>
    <row r="78" spans="1:9" x14ac:dyDescent="0.2">
      <c r="A78" s="50" t="s">
        <v>55</v>
      </c>
      <c r="B78" s="50">
        <v>3.17</v>
      </c>
      <c r="C78" s="50">
        <v>1138.58</v>
      </c>
      <c r="D78" s="50">
        <v>101.4</v>
      </c>
      <c r="E78" s="48" t="s">
        <v>61</v>
      </c>
      <c r="F78" s="50"/>
      <c r="G78" s="48"/>
      <c r="H78" s="48">
        <f t="shared" si="17"/>
        <v>28.50155201762291</v>
      </c>
      <c r="I78" s="48">
        <f t="shared" si="18"/>
        <v>1.0140000000000001E-4</v>
      </c>
    </row>
    <row r="79" spans="1:9" x14ac:dyDescent="0.2">
      <c r="A79" s="50" t="s">
        <v>55</v>
      </c>
      <c r="B79" s="50">
        <v>4.97</v>
      </c>
      <c r="C79" s="50">
        <v>1154.29</v>
      </c>
      <c r="D79" s="50">
        <v>105.69</v>
      </c>
      <c r="E79" s="48" t="s">
        <v>61</v>
      </c>
      <c r="F79" s="50"/>
      <c r="G79" s="48"/>
      <c r="H79" s="48">
        <f t="shared" si="17"/>
        <v>28.894813257234407</v>
      </c>
      <c r="I79" s="48">
        <f t="shared" si="18"/>
        <v>1.0569E-4</v>
      </c>
    </row>
    <row r="80" spans="1:9" x14ac:dyDescent="0.2">
      <c r="A80" s="50" t="s">
        <v>51</v>
      </c>
      <c r="B80" s="50">
        <v>4.91</v>
      </c>
      <c r="C80" s="50">
        <v>179.43</v>
      </c>
      <c r="D80" s="50">
        <v>17.18</v>
      </c>
      <c r="E80" s="48" t="s">
        <v>62</v>
      </c>
      <c r="F80" s="50"/>
      <c r="G80" s="48"/>
      <c r="H80" s="48">
        <f t="shared" si="17"/>
        <v>4.4915890657855213</v>
      </c>
      <c r="I80" s="48">
        <f t="shared" si="18"/>
        <v>1.7179999999999998E-5</v>
      </c>
    </row>
    <row r="81" spans="1:11" x14ac:dyDescent="0.2">
      <c r="A81" s="48"/>
      <c r="B81" s="48"/>
      <c r="C81" s="48"/>
      <c r="D81" s="48"/>
      <c r="E81" s="48"/>
      <c r="F81" s="48"/>
      <c r="G81" s="48"/>
      <c r="H81" s="48"/>
      <c r="I81" s="48"/>
    </row>
    <row r="82" spans="1:11" x14ac:dyDescent="0.2">
      <c r="A82" s="48"/>
      <c r="B82" s="48"/>
      <c r="C82" s="48"/>
      <c r="D82" s="48"/>
      <c r="E82" s="48"/>
      <c r="F82" s="48"/>
      <c r="G82" s="48"/>
      <c r="H82" s="48"/>
      <c r="I82" s="48"/>
    </row>
    <row r="83" spans="1:11" ht="30" x14ac:dyDescent="0.2">
      <c r="A83" s="49" t="s">
        <v>64</v>
      </c>
      <c r="B83" s="49" t="s">
        <v>65</v>
      </c>
      <c r="C83" s="49" t="s">
        <v>66</v>
      </c>
      <c r="D83" s="49" t="s">
        <v>67</v>
      </c>
      <c r="E83" s="49" t="s">
        <v>68</v>
      </c>
      <c r="F83" s="48"/>
      <c r="G83" s="48"/>
      <c r="H83" s="49" t="s">
        <v>147</v>
      </c>
      <c r="I83" s="49" t="s">
        <v>146</v>
      </c>
    </row>
    <row r="84" spans="1:11" x14ac:dyDescent="0.2">
      <c r="A84" s="51">
        <v>298.25</v>
      </c>
      <c r="B84" s="51">
        <v>1.0002</v>
      </c>
      <c r="C84" s="51">
        <v>16.212</v>
      </c>
      <c r="D84" s="51">
        <v>22.773</v>
      </c>
      <c r="E84" s="51">
        <v>4.7E-2</v>
      </c>
      <c r="F84" s="48"/>
      <c r="G84" s="48"/>
      <c r="H84" s="48">
        <f>C84/$C$59/1000</f>
        <v>0.40582757584860318</v>
      </c>
      <c r="I84" s="48">
        <f>D84/10^6</f>
        <v>2.2773E-5</v>
      </c>
      <c r="K84" t="s">
        <v>69</v>
      </c>
    </row>
    <row r="85" spans="1:11" x14ac:dyDescent="0.2">
      <c r="A85" s="51">
        <v>298.25</v>
      </c>
      <c r="B85" s="51">
        <v>0.8004</v>
      </c>
      <c r="C85" s="51">
        <v>12.958</v>
      </c>
      <c r="D85" s="51">
        <v>22.716000000000001</v>
      </c>
      <c r="E85" s="51">
        <v>4.7E-2</v>
      </c>
      <c r="F85" s="48"/>
      <c r="G85" s="48"/>
      <c r="H85" s="48">
        <f t="shared" ref="H85:H107" si="19">C85/$C$59/1000</f>
        <v>0.32437168318814463</v>
      </c>
      <c r="I85" s="48">
        <f t="shared" ref="I85:I107" si="20">D85/10^6</f>
        <v>2.2716000000000001E-5</v>
      </c>
    </row>
    <row r="86" spans="1:11" x14ac:dyDescent="0.2">
      <c r="A86" s="51">
        <v>298.25</v>
      </c>
      <c r="B86" s="51">
        <v>0.60040000000000004</v>
      </c>
      <c r="C86" s="51">
        <v>9.7080000000000002</v>
      </c>
      <c r="D86" s="51">
        <v>22.68</v>
      </c>
      <c r="E86" s="51">
        <v>4.5999999999999999E-2</v>
      </c>
      <c r="F86" s="48"/>
      <c r="G86" s="48"/>
      <c r="H86" s="48">
        <f t="shared" si="19"/>
        <v>0.243015920696906</v>
      </c>
      <c r="I86" s="48">
        <f t="shared" si="20"/>
        <v>2.268E-5</v>
      </c>
    </row>
    <row r="87" spans="1:11" x14ac:dyDescent="0.2">
      <c r="A87" s="51">
        <v>298.25</v>
      </c>
      <c r="B87" s="51">
        <v>0.40050000000000002</v>
      </c>
      <c r="C87" s="51">
        <v>6.468</v>
      </c>
      <c r="D87" s="51">
        <v>22.634</v>
      </c>
      <c r="E87" s="51">
        <v>4.9000000000000002E-2</v>
      </c>
      <c r="F87" s="48"/>
      <c r="G87" s="48"/>
      <c r="H87" s="48">
        <f t="shared" si="19"/>
        <v>0.16191048362871735</v>
      </c>
      <c r="I87" s="48">
        <f t="shared" si="20"/>
        <v>2.2634E-5</v>
      </c>
    </row>
    <row r="88" spans="1:11" x14ac:dyDescent="0.2">
      <c r="A88" s="51">
        <v>298.26</v>
      </c>
      <c r="B88" s="51">
        <v>0.2006</v>
      </c>
      <c r="C88" s="51">
        <v>3.2349999999999999</v>
      </c>
      <c r="D88" s="51">
        <v>22.582999999999998</v>
      </c>
      <c r="E88" s="51">
        <v>5.0999999999999997E-2</v>
      </c>
      <c r="F88" s="48"/>
      <c r="G88" s="48"/>
      <c r="H88" s="48">
        <f t="shared" si="19"/>
        <v>8.0980274356663676E-2</v>
      </c>
      <c r="I88" s="48">
        <f t="shared" si="20"/>
        <v>2.2582999999999997E-5</v>
      </c>
    </row>
    <row r="89" spans="1:11" x14ac:dyDescent="0.2">
      <c r="A89" s="51">
        <v>298.25</v>
      </c>
      <c r="B89" s="51">
        <v>9.9699999999999997E-2</v>
      </c>
      <c r="C89" s="51">
        <v>1.607</v>
      </c>
      <c r="D89" s="51">
        <v>22.573</v>
      </c>
      <c r="E89" s="51">
        <v>4.4999999999999998E-2</v>
      </c>
      <c r="F89" s="48"/>
      <c r="G89" s="48"/>
      <c r="H89" s="48">
        <f t="shared" si="19"/>
        <v>4.0227295484129372E-2</v>
      </c>
      <c r="I89" s="48">
        <f t="shared" si="20"/>
        <v>2.2572999999999999E-5</v>
      </c>
    </row>
    <row r="90" spans="1:11" x14ac:dyDescent="0.2">
      <c r="A90" s="51">
        <v>323.27</v>
      </c>
      <c r="B90" s="51">
        <v>1.0002</v>
      </c>
      <c r="C90" s="51">
        <v>14.923999999999999</v>
      </c>
      <c r="D90" s="51">
        <v>24.318000000000001</v>
      </c>
      <c r="E90" s="51">
        <v>4.5999999999999999E-2</v>
      </c>
      <c r="F90" s="48"/>
      <c r="G90" s="48"/>
      <c r="H90" s="48">
        <f t="shared" si="19"/>
        <v>0.37358566135976767</v>
      </c>
      <c r="I90" s="48">
        <f t="shared" si="20"/>
        <v>2.4318E-5</v>
      </c>
    </row>
    <row r="91" spans="1:11" x14ac:dyDescent="0.2">
      <c r="A91" s="51">
        <v>323.27</v>
      </c>
      <c r="B91" s="51">
        <v>0.79849999999999999</v>
      </c>
      <c r="C91" s="51">
        <v>11.904999999999999</v>
      </c>
      <c r="D91" s="51">
        <v>24.274000000000001</v>
      </c>
      <c r="E91" s="51">
        <v>4.5999999999999999E-2</v>
      </c>
      <c r="F91" s="48"/>
      <c r="G91" s="48"/>
      <c r="H91" s="48">
        <f t="shared" si="19"/>
        <v>0.29801241614098328</v>
      </c>
      <c r="I91" s="48">
        <f t="shared" si="20"/>
        <v>2.4274000000000002E-5</v>
      </c>
    </row>
    <row r="92" spans="1:11" x14ac:dyDescent="0.2">
      <c r="A92" s="51">
        <v>323.27</v>
      </c>
      <c r="B92" s="51">
        <v>0.59970000000000001</v>
      </c>
      <c r="C92" s="51">
        <v>8.9339999999999993</v>
      </c>
      <c r="D92" s="51">
        <v>24.245000000000001</v>
      </c>
      <c r="E92" s="51">
        <v>4.7E-2</v>
      </c>
      <c r="F92" s="48"/>
      <c r="G92" s="48"/>
      <c r="H92" s="48">
        <f t="shared" si="19"/>
        <v>0.22364073295283868</v>
      </c>
      <c r="I92" s="48">
        <f t="shared" si="20"/>
        <v>2.4245000000000002E-5</v>
      </c>
    </row>
    <row r="93" spans="1:11" x14ac:dyDescent="0.2">
      <c r="A93" s="51">
        <v>323.27</v>
      </c>
      <c r="B93" s="51">
        <v>0.3987</v>
      </c>
      <c r="C93" s="51">
        <v>5.9349999999999996</v>
      </c>
      <c r="D93" s="51">
        <v>24.204000000000001</v>
      </c>
      <c r="E93" s="51">
        <v>4.4999999999999998E-2</v>
      </c>
      <c r="F93" s="48"/>
      <c r="G93" s="48"/>
      <c r="H93" s="48">
        <f t="shared" si="19"/>
        <v>0.14856813858015419</v>
      </c>
      <c r="I93" s="48">
        <f t="shared" si="20"/>
        <v>2.4204000000000001E-5</v>
      </c>
    </row>
    <row r="94" spans="1:11" x14ac:dyDescent="0.2">
      <c r="A94" s="51">
        <v>323.27</v>
      </c>
      <c r="B94" s="51">
        <v>0.1988</v>
      </c>
      <c r="C94" s="51">
        <v>2.9569999999999999</v>
      </c>
      <c r="D94" s="51">
        <v>24.158000000000001</v>
      </c>
      <c r="E94" s="51">
        <v>4.5999999999999999E-2</v>
      </c>
      <c r="F94" s="48"/>
      <c r="G94" s="48"/>
      <c r="H94" s="48">
        <f t="shared" si="19"/>
        <v>7.4021227595874636E-2</v>
      </c>
      <c r="I94" s="48">
        <f t="shared" si="20"/>
        <v>2.4158000000000001E-5</v>
      </c>
    </row>
    <row r="95" spans="1:11" x14ac:dyDescent="0.2">
      <c r="A95" s="51">
        <v>323.27</v>
      </c>
      <c r="B95" s="51">
        <v>0.10249999999999999</v>
      </c>
      <c r="C95" s="51">
        <v>1.524</v>
      </c>
      <c r="D95" s="51">
        <v>24.151</v>
      </c>
      <c r="E95" s="51">
        <v>4.5999999999999999E-2</v>
      </c>
      <c r="F95" s="48"/>
      <c r="G95" s="48"/>
      <c r="H95" s="48">
        <f t="shared" si="19"/>
        <v>3.8149594472814664E-2</v>
      </c>
      <c r="I95" s="48">
        <f t="shared" si="20"/>
        <v>2.4151E-5</v>
      </c>
    </row>
    <row r="96" spans="1:11" x14ac:dyDescent="0.2">
      <c r="A96" s="51">
        <v>373.3</v>
      </c>
      <c r="B96" s="51">
        <v>0.99880000000000002</v>
      </c>
      <c r="C96" s="51">
        <v>12.87</v>
      </c>
      <c r="D96" s="51">
        <v>27.27</v>
      </c>
      <c r="E96" s="51">
        <v>4.8000000000000001E-2</v>
      </c>
      <c r="F96" s="48"/>
      <c r="G96" s="48"/>
      <c r="H96" s="48">
        <f t="shared" si="19"/>
        <v>0.3221688194653049</v>
      </c>
      <c r="I96" s="48">
        <f t="shared" si="20"/>
        <v>2.7269999999999998E-5</v>
      </c>
    </row>
    <row r="97" spans="1:9" x14ac:dyDescent="0.2">
      <c r="A97" s="51">
        <v>373.31</v>
      </c>
      <c r="B97" s="51">
        <v>0.79859999999999998</v>
      </c>
      <c r="C97" s="51">
        <v>10.288</v>
      </c>
      <c r="D97" s="51">
        <v>27.222999999999999</v>
      </c>
      <c r="E97" s="51">
        <v>4.8000000000000001E-2</v>
      </c>
      <c r="F97" s="48"/>
      <c r="G97" s="48"/>
      <c r="H97" s="48">
        <f t="shared" si="19"/>
        <v>0.25753479523380396</v>
      </c>
      <c r="I97" s="48">
        <f t="shared" si="20"/>
        <v>2.7223E-5</v>
      </c>
    </row>
    <row r="98" spans="1:9" x14ac:dyDescent="0.2">
      <c r="A98" s="51">
        <v>373.3</v>
      </c>
      <c r="B98" s="51">
        <v>0.59940000000000004</v>
      </c>
      <c r="C98" s="51">
        <v>7.72</v>
      </c>
      <c r="D98" s="51">
        <v>27.201000000000001</v>
      </c>
      <c r="E98" s="51">
        <v>4.7E-2</v>
      </c>
      <c r="F98" s="48"/>
      <c r="G98" s="48"/>
      <c r="H98" s="48">
        <f t="shared" si="19"/>
        <v>0.19325122659457294</v>
      </c>
      <c r="I98" s="48">
        <f t="shared" si="20"/>
        <v>2.7200999999999999E-5</v>
      </c>
    </row>
    <row r="99" spans="1:9" x14ac:dyDescent="0.2">
      <c r="A99" s="51">
        <v>373.3</v>
      </c>
      <c r="B99" s="51">
        <v>0.39850000000000002</v>
      </c>
      <c r="C99" s="51">
        <v>5.1310000000000002</v>
      </c>
      <c r="D99" s="51">
        <v>27.163</v>
      </c>
      <c r="E99" s="51">
        <v>0.05</v>
      </c>
      <c r="F99" s="48"/>
      <c r="G99" s="48"/>
      <c r="H99" s="48">
        <f t="shared" si="19"/>
        <v>0.12844197456693704</v>
      </c>
      <c r="I99" s="48">
        <f t="shared" si="20"/>
        <v>2.7163000000000001E-5</v>
      </c>
    </row>
    <row r="100" spans="1:9" x14ac:dyDescent="0.2">
      <c r="A100" s="51">
        <v>373.3</v>
      </c>
      <c r="B100" s="51">
        <v>0.19900000000000001</v>
      </c>
      <c r="C100" s="51">
        <v>2.5619999999999998</v>
      </c>
      <c r="D100" s="51">
        <v>27.14</v>
      </c>
      <c r="E100" s="51">
        <v>4.8000000000000001E-2</v>
      </c>
      <c r="F100" s="48"/>
      <c r="G100" s="48"/>
      <c r="H100" s="48">
        <f t="shared" si="19"/>
        <v>6.413337338540101E-2</v>
      </c>
      <c r="I100" s="48">
        <f t="shared" si="20"/>
        <v>2.7140000000000001E-5</v>
      </c>
    </row>
    <row r="101" spans="1:9" x14ac:dyDescent="0.2">
      <c r="A101" s="51">
        <v>373.3</v>
      </c>
      <c r="B101" s="51">
        <v>0.1041</v>
      </c>
      <c r="C101" s="51">
        <v>1.34</v>
      </c>
      <c r="D101" s="51">
        <v>27.126000000000001</v>
      </c>
      <c r="E101" s="51">
        <v>4.7E-2</v>
      </c>
      <c r="F101" s="48"/>
      <c r="G101" s="48"/>
      <c r="H101" s="48">
        <f t="shared" si="19"/>
        <v>3.3543606688695306E-2</v>
      </c>
      <c r="I101" s="48">
        <f t="shared" si="20"/>
        <v>2.7126000000000001E-5</v>
      </c>
    </row>
    <row r="102" spans="1:9" x14ac:dyDescent="0.2">
      <c r="A102" s="51">
        <v>423.34</v>
      </c>
      <c r="B102" s="51">
        <v>0.99790000000000001</v>
      </c>
      <c r="C102" s="51">
        <v>11.32</v>
      </c>
      <c r="D102" s="51">
        <v>30.042999999999999</v>
      </c>
      <c r="E102" s="51">
        <v>5.8999999999999997E-2</v>
      </c>
      <c r="F102" s="48"/>
      <c r="G102" s="48"/>
      <c r="H102" s="48">
        <f t="shared" si="19"/>
        <v>0.28336837889256039</v>
      </c>
      <c r="I102" s="48">
        <f t="shared" si="20"/>
        <v>3.0043E-5</v>
      </c>
    </row>
    <row r="103" spans="1:9" x14ac:dyDescent="0.2">
      <c r="A103" s="51">
        <v>423.34</v>
      </c>
      <c r="B103" s="51">
        <v>0.80100000000000005</v>
      </c>
      <c r="C103" s="51">
        <v>9.0879999999999992</v>
      </c>
      <c r="D103" s="51">
        <v>30.009</v>
      </c>
      <c r="E103" s="51">
        <v>5.0999999999999997E-2</v>
      </c>
      <c r="F103" s="48"/>
      <c r="G103" s="48"/>
      <c r="H103" s="48">
        <f t="shared" si="19"/>
        <v>0.22749574446780815</v>
      </c>
      <c r="I103" s="48">
        <f t="shared" si="20"/>
        <v>3.0009E-5</v>
      </c>
    </row>
    <row r="104" spans="1:9" x14ac:dyDescent="0.2">
      <c r="A104" s="51">
        <v>423.34</v>
      </c>
      <c r="B104" s="51">
        <v>0.59889999999999999</v>
      </c>
      <c r="C104" s="51">
        <v>6.7949999999999999</v>
      </c>
      <c r="D104" s="51">
        <v>29.992000000000001</v>
      </c>
      <c r="E104" s="51">
        <v>5.1999999999999998E-2</v>
      </c>
      <c r="F104" s="48"/>
      <c r="G104" s="48"/>
      <c r="H104" s="48">
        <f t="shared" si="19"/>
        <v>0.17009612496245119</v>
      </c>
      <c r="I104" s="48">
        <f t="shared" si="20"/>
        <v>2.9992E-5</v>
      </c>
    </row>
    <row r="105" spans="1:9" x14ac:dyDescent="0.2">
      <c r="A105" s="51">
        <v>423.34</v>
      </c>
      <c r="B105" s="51">
        <v>0.39860000000000001</v>
      </c>
      <c r="C105" s="51">
        <v>4.5229999999999997</v>
      </c>
      <c r="D105" s="51">
        <v>29.965</v>
      </c>
      <c r="E105" s="51">
        <v>5.0999999999999997E-2</v>
      </c>
      <c r="F105" s="48"/>
      <c r="G105" s="48"/>
      <c r="H105" s="48">
        <f t="shared" si="19"/>
        <v>0.11322218884549914</v>
      </c>
      <c r="I105" s="48">
        <f t="shared" si="20"/>
        <v>2.9964999999999999E-5</v>
      </c>
    </row>
    <row r="106" spans="1:9" x14ac:dyDescent="0.2">
      <c r="A106" s="51">
        <v>423.35</v>
      </c>
      <c r="B106" s="51">
        <v>0.19869999999999999</v>
      </c>
      <c r="C106" s="51">
        <v>2.2549999999999999</v>
      </c>
      <c r="D106" s="51">
        <v>29.927</v>
      </c>
      <c r="E106" s="51">
        <v>5.0999999999999997E-2</v>
      </c>
      <c r="F106" s="48"/>
      <c r="G106" s="48"/>
      <c r="H106" s="48">
        <f t="shared" si="19"/>
        <v>5.6448382897767095E-2</v>
      </c>
      <c r="I106" s="48">
        <f t="shared" si="20"/>
        <v>2.9927E-5</v>
      </c>
    </row>
    <row r="107" spans="1:9" x14ac:dyDescent="0.2">
      <c r="A107" s="51">
        <v>423.35</v>
      </c>
      <c r="B107" s="51">
        <v>0.1036</v>
      </c>
      <c r="C107" s="51">
        <v>1.1759999999999999</v>
      </c>
      <c r="D107" s="51">
        <v>29.922000000000001</v>
      </c>
      <c r="E107" s="51">
        <v>4.9000000000000002E-2</v>
      </c>
      <c r="F107" s="48"/>
      <c r="G107" s="48"/>
      <c r="H107" s="48">
        <f t="shared" si="19"/>
        <v>2.9438269750675879E-2</v>
      </c>
      <c r="I107" s="48">
        <f t="shared" si="20"/>
        <v>2.9921999999999999E-5</v>
      </c>
    </row>
  </sheetData>
  <mergeCells count="4">
    <mergeCell ref="N25:O25"/>
    <mergeCell ref="Q25:X25"/>
    <mergeCell ref="Q42:X42"/>
    <mergeCell ref="G25:L26"/>
  </mergeCells>
  <hyperlinks>
    <hyperlink ref="K62" r:id="rId1" xr:uid="{383102D9-4E07-43F2-B02C-08149888F124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5D8C6-A35E-4A02-98DD-8324E9F172E5}">
  <dimension ref="A1:AJ80"/>
  <sheetViews>
    <sheetView zoomScale="70" zoomScaleNormal="70" workbookViewId="0">
      <selection activeCell="M67" sqref="M67"/>
    </sheetView>
  </sheetViews>
  <sheetFormatPr baseColWidth="10" defaultRowHeight="14.25" x14ac:dyDescent="0.2"/>
  <sheetData>
    <row r="1" spans="1:9" x14ac:dyDescent="0.2">
      <c r="A1" t="s">
        <v>40</v>
      </c>
      <c r="B1" t="s">
        <v>45</v>
      </c>
      <c r="C1" t="s">
        <v>46</v>
      </c>
      <c r="D1" t="s">
        <v>47</v>
      </c>
      <c r="E1" t="s">
        <v>48</v>
      </c>
    </row>
    <row r="2" spans="1:9" x14ac:dyDescent="0.2">
      <c r="A2">
        <v>90</v>
      </c>
      <c r="B2">
        <v>2.4044999999999999E-4</v>
      </c>
      <c r="C2">
        <v>7.2245999999999994E-6</v>
      </c>
      <c r="D2">
        <v>34.509862821668165</v>
      </c>
      <c r="E2">
        <v>0.18614699108841495</v>
      </c>
    </row>
    <row r="3" spans="1:9" x14ac:dyDescent="0.2">
      <c r="A3">
        <v>100</v>
      </c>
      <c r="B3">
        <v>1.8306999999999999E-4</v>
      </c>
      <c r="C3">
        <v>8.0043000000000006E-6</v>
      </c>
      <c r="D3">
        <v>32.8852508260739</v>
      </c>
      <c r="E3">
        <v>0.42202363071993598</v>
      </c>
    </row>
    <row r="4" spans="1:9" x14ac:dyDescent="0.2">
      <c r="A4">
        <v>110</v>
      </c>
      <c r="B4">
        <v>1.4247999999999998E-4</v>
      </c>
      <c r="C4">
        <v>8.8720999999999993E-6</v>
      </c>
      <c r="D4">
        <v>31.110443576649647</v>
      </c>
      <c r="E4">
        <v>0.83325823570641844</v>
      </c>
    </row>
    <row r="5" spans="1:9" x14ac:dyDescent="0.2">
      <c r="A5">
        <v>120</v>
      </c>
      <c r="B5">
        <v>1.1166E-4</v>
      </c>
      <c r="C5">
        <v>9.9017000000000004E-6</v>
      </c>
      <c r="D5">
        <v>29.107840192249924</v>
      </c>
      <c r="E5">
        <v>1.5055572243917092</v>
      </c>
    </row>
    <row r="6" spans="1:9" x14ac:dyDescent="0.2">
      <c r="A6">
        <v>130</v>
      </c>
      <c r="B6">
        <v>8.6679000000000001E-5</v>
      </c>
      <c r="C6">
        <v>1.1248E-5</v>
      </c>
      <c r="D6">
        <v>26.737258435966755</v>
      </c>
      <c r="E6">
        <v>2.5923700811054373</v>
      </c>
    </row>
    <row r="7" spans="1:9" x14ac:dyDescent="0.2">
      <c r="A7">
        <v>140</v>
      </c>
      <c r="B7">
        <v>6.4471E-5</v>
      </c>
      <c r="C7">
        <v>1.3369999999999999E-5</v>
      </c>
      <c r="D7">
        <v>23.623460498648246</v>
      </c>
      <c r="E7">
        <v>4.4773205166716732</v>
      </c>
    </row>
    <row r="8" spans="1:9" x14ac:dyDescent="0.2">
      <c r="A8">
        <v>150</v>
      </c>
      <c r="B8">
        <v>3.6712000000000004E-5</v>
      </c>
      <c r="C8">
        <v>2.0533000000000001E-5</v>
      </c>
      <c r="D8">
        <v>17.032892760588766</v>
      </c>
      <c r="E8">
        <v>9.8753379393211187</v>
      </c>
    </row>
    <row r="10" spans="1:9" x14ac:dyDescent="0.2">
      <c r="A10" t="s">
        <v>157</v>
      </c>
    </row>
    <row r="11" spans="1:9" x14ac:dyDescent="0.2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</row>
    <row r="12" spans="1:9" x14ac:dyDescent="0.2">
      <c r="A12" t="s">
        <v>79</v>
      </c>
      <c r="B12" t="s">
        <v>80</v>
      </c>
      <c r="C12" t="s">
        <v>80</v>
      </c>
      <c r="D12" t="s">
        <v>81</v>
      </c>
      <c r="E12" t="s">
        <v>82</v>
      </c>
      <c r="F12" t="s">
        <v>80</v>
      </c>
      <c r="G12" t="s">
        <v>80</v>
      </c>
      <c r="H12" t="s">
        <v>81</v>
      </c>
      <c r="I12" t="s">
        <v>83</v>
      </c>
    </row>
    <row r="13" spans="1:9" x14ac:dyDescent="0.2">
      <c r="A13" s="3">
        <v>143.15264999999999</v>
      </c>
      <c r="B13" s="3">
        <v>21.776693499</v>
      </c>
      <c r="C13" s="3">
        <v>5.4134906681999997</v>
      </c>
      <c r="D13" s="3">
        <v>3.6360495274</v>
      </c>
      <c r="E13" s="3">
        <v>2929.2332084</v>
      </c>
      <c r="F13" s="3">
        <v>18.216003674</v>
      </c>
      <c r="G13" s="3">
        <v>8.1246318385999992</v>
      </c>
      <c r="H13" s="3">
        <v>2.7413162424999999</v>
      </c>
      <c r="I13" s="3">
        <v>3.9518831115999999</v>
      </c>
    </row>
    <row r="14" spans="1:9" x14ac:dyDescent="0.2">
      <c r="A14" s="3">
        <v>135.6183</v>
      </c>
      <c r="B14" s="3">
        <v>25.089442170000002</v>
      </c>
      <c r="C14" s="3">
        <v>3.5076397919</v>
      </c>
      <c r="D14" s="3">
        <v>2.6387424136000002</v>
      </c>
      <c r="E14" s="3">
        <v>3916.9303245999999</v>
      </c>
      <c r="F14" s="3">
        <v>20.679437647</v>
      </c>
      <c r="G14" s="3">
        <v>6.7587566571000002</v>
      </c>
      <c r="H14" s="3">
        <v>-0.25758771037</v>
      </c>
      <c r="I14" s="3">
        <v>3.2734892522000001</v>
      </c>
    </row>
    <row r="15" spans="1:9" x14ac:dyDescent="0.2">
      <c r="A15" s="3">
        <v>128.08394999999999</v>
      </c>
      <c r="B15" s="3">
        <v>27.353605438999999</v>
      </c>
      <c r="C15" s="3">
        <v>2.3369282187999998</v>
      </c>
      <c r="D15" s="3">
        <v>1.8526819637</v>
      </c>
      <c r="E15" s="3">
        <v>4586.9751613999997</v>
      </c>
      <c r="F15" s="3">
        <v>22.425468994999999</v>
      </c>
      <c r="G15" s="3">
        <v>5.7790116346999998</v>
      </c>
      <c r="H15" s="3">
        <v>-3.9900096288000002</v>
      </c>
      <c r="I15" s="3">
        <v>2.7191232294000001</v>
      </c>
    </row>
    <row r="16" spans="1:9" x14ac:dyDescent="0.2">
      <c r="A16" s="3">
        <v>120.5496</v>
      </c>
      <c r="B16" s="3">
        <v>29.127301539000001</v>
      </c>
      <c r="C16" s="3">
        <v>1.5463739110000001</v>
      </c>
      <c r="D16" s="3">
        <v>1.2504215353000001</v>
      </c>
      <c r="E16" s="3">
        <v>5091.9171661</v>
      </c>
      <c r="F16" s="3">
        <v>23.805421234000001</v>
      </c>
      <c r="G16" s="3">
        <v>4.9930660616000004</v>
      </c>
      <c r="H16" s="3">
        <v>-8.3920124822000002</v>
      </c>
      <c r="I16" s="3">
        <v>2.2533919749</v>
      </c>
    </row>
    <row r="17" spans="1:36" x14ac:dyDescent="0.2">
      <c r="A17" s="3">
        <v>113.01524999999999</v>
      </c>
      <c r="B17" s="3">
        <v>30.619948311000002</v>
      </c>
      <c r="C17" s="3">
        <v>0.99737817085000002</v>
      </c>
      <c r="D17" s="3">
        <v>0.80411401451999998</v>
      </c>
      <c r="E17" s="3">
        <v>5490.5395028000003</v>
      </c>
      <c r="F17" s="3">
        <v>24.969027346000001</v>
      </c>
      <c r="G17" s="3">
        <v>4.3289309932000002</v>
      </c>
      <c r="H17" s="3">
        <v>-13.433880091000001</v>
      </c>
      <c r="I17" s="3">
        <v>1.8572841321</v>
      </c>
    </row>
    <row r="18" spans="1:36" x14ac:dyDescent="0.2">
      <c r="A18" s="3">
        <v>105.48090000000001</v>
      </c>
      <c r="B18" s="3">
        <v>31.934390979</v>
      </c>
      <c r="C18" s="3">
        <v>0.61699624803999997</v>
      </c>
      <c r="D18" s="3">
        <v>0.48694693784999998</v>
      </c>
      <c r="E18" s="3">
        <v>5812.9324540999996</v>
      </c>
      <c r="F18" s="3">
        <v>25.993463403</v>
      </c>
      <c r="G18" s="3">
        <v>3.7510605128000001</v>
      </c>
      <c r="H18" s="3">
        <v>-19.105096649</v>
      </c>
      <c r="I18" s="3">
        <v>1.5186332891000001</v>
      </c>
    </row>
    <row r="19" spans="1:36" x14ac:dyDescent="0.2">
      <c r="A19" s="3">
        <v>97.946550000000002</v>
      </c>
      <c r="B19" s="3">
        <v>33.129913651999999</v>
      </c>
      <c r="C19" s="3">
        <v>0.35964651491999999</v>
      </c>
      <c r="D19" s="3">
        <v>0.27335672547000001</v>
      </c>
      <c r="E19" s="3">
        <v>6077.2688368999998</v>
      </c>
      <c r="F19" s="3">
        <v>26.923925639</v>
      </c>
      <c r="G19" s="3">
        <v>3.239169698</v>
      </c>
      <c r="H19" s="3">
        <v>-25.406748718999999</v>
      </c>
      <c r="I19" s="3">
        <v>1.2288410607</v>
      </c>
    </row>
    <row r="20" spans="1:36" x14ac:dyDescent="0.2">
      <c r="A20" s="3">
        <v>90.412199999999999</v>
      </c>
      <c r="B20" s="3">
        <v>34.244622624000002</v>
      </c>
      <c r="C20" s="3">
        <v>0.19319268297</v>
      </c>
      <c r="D20" s="3">
        <v>0.13925375221</v>
      </c>
      <c r="E20" s="3">
        <v>6295.8546149000003</v>
      </c>
      <c r="F20" s="3">
        <v>27.789407325999999</v>
      </c>
      <c r="G20" s="3">
        <v>2.7805953161999999</v>
      </c>
      <c r="H20" s="3">
        <v>-32.346471684000001</v>
      </c>
      <c r="I20" s="3">
        <v>0.98141604885</v>
      </c>
    </row>
    <row r="21" spans="1:36" x14ac:dyDescent="0.2">
      <c r="A21" s="3">
        <v>82.877849999999995</v>
      </c>
      <c r="B21" s="3">
        <v>35.304978706999997</v>
      </c>
      <c r="C21" s="3">
        <v>9.2831909753E-2</v>
      </c>
      <c r="D21" s="3">
        <v>6.2505454412000006E-2</v>
      </c>
      <c r="E21" s="3">
        <v>6477.7559666999996</v>
      </c>
      <c r="F21" s="3">
        <v>28.609704714999999</v>
      </c>
      <c r="G21" s="3">
        <v>2.3669396696999998</v>
      </c>
      <c r="H21" s="3">
        <v>-39.933688564000001</v>
      </c>
      <c r="I21" s="3">
        <v>0.77121661698999999</v>
      </c>
    </row>
    <row r="22" spans="1:36" x14ac:dyDescent="0.2">
      <c r="A22" s="3">
        <v>75.343500000000006</v>
      </c>
      <c r="B22" s="3">
        <v>36.330310650999998</v>
      </c>
      <c r="C22" s="3">
        <v>3.8277702588E-2</v>
      </c>
      <c r="D22" s="3">
        <v>2.3714102672000002E-2</v>
      </c>
      <c r="E22" s="3">
        <v>6630.0252872000001</v>
      </c>
      <c r="F22" s="3">
        <v>29.398778999000001</v>
      </c>
      <c r="G22" s="3">
        <v>1.9923984211000001</v>
      </c>
      <c r="H22" s="3">
        <v>-48.173554637999999</v>
      </c>
      <c r="I22" s="3">
        <v>0.59401691864999995</v>
      </c>
    </row>
    <row r="23" spans="1:36" x14ac:dyDescent="0.2">
      <c r="A23" s="3">
        <v>67.809150000000002</v>
      </c>
      <c r="B23" s="3">
        <v>37.335018914000003</v>
      </c>
      <c r="C23" s="3">
        <v>1.2756943892E-2</v>
      </c>
      <c r="D23" s="3">
        <v>7.1609388263000001E-3</v>
      </c>
      <c r="E23" s="3">
        <v>6758.1933752000004</v>
      </c>
      <c r="F23" s="3">
        <v>30.166378723000001</v>
      </c>
      <c r="G23" s="3">
        <v>1.6528577121000001</v>
      </c>
      <c r="H23" s="3">
        <v>-57.057854394000003</v>
      </c>
      <c r="I23" s="3">
        <v>0.44623904269999998</v>
      </c>
    </row>
    <row r="24" spans="1:36" x14ac:dyDescent="0.2">
      <c r="A24" s="3">
        <v>60.274799999999999</v>
      </c>
      <c r="B24" s="3">
        <v>38.329529399000002</v>
      </c>
      <c r="C24" s="3">
        <v>3.1440198546000002E-3</v>
      </c>
      <c r="D24" s="3">
        <v>1.5735849461E-3</v>
      </c>
      <c r="E24" s="3">
        <v>6866.3098293000003</v>
      </c>
      <c r="F24" s="3">
        <v>30.918708005999999</v>
      </c>
      <c r="G24" s="3">
        <v>1.3453878016</v>
      </c>
      <c r="H24" s="3">
        <v>-66.550187187000006</v>
      </c>
      <c r="I24" s="3">
        <v>0.32477713974</v>
      </c>
    </row>
    <row r="25" spans="1:36" x14ac:dyDescent="0.2">
      <c r="A25" s="3">
        <v>52.740450000000003</v>
      </c>
      <c r="B25" s="3">
        <v>39.320395787999999</v>
      </c>
      <c r="C25" s="3">
        <v>4.9931298312999996E-4</v>
      </c>
      <c r="D25" s="3">
        <v>2.1889692600999999E-4</v>
      </c>
      <c r="E25" s="3">
        <v>6956.8129720999996</v>
      </c>
      <c r="F25" s="3">
        <v>31.658470216000001</v>
      </c>
      <c r="G25" s="3">
        <v>1.0679665816999999</v>
      </c>
      <c r="H25" s="3">
        <v>-76.560447941999996</v>
      </c>
      <c r="I25" s="3">
        <v>0.2268744144</v>
      </c>
    </row>
    <row r="26" spans="1:36" x14ac:dyDescent="0.2">
      <c r="A26" s="3">
        <v>45.206099999999999</v>
      </c>
      <c r="B26" s="3">
        <v>40.309467108</v>
      </c>
      <c r="C26" s="3">
        <v>4.0750998698999999E-5</v>
      </c>
      <c r="D26" s="3">
        <v>1.5316439886000001E-5</v>
      </c>
      <c r="E26" s="3">
        <v>7030.6149114999998</v>
      </c>
      <c r="F26" s="3">
        <v>32.384326023</v>
      </c>
      <c r="G26" s="3">
        <v>0.81935660668999999</v>
      </c>
      <c r="H26" s="3">
        <v>-86.897345932999997</v>
      </c>
      <c r="I26" s="3">
        <v>0.15002968983000001</v>
      </c>
    </row>
    <row r="29" spans="1:36" x14ac:dyDescent="0.2">
      <c r="A29" t="s">
        <v>158</v>
      </c>
    </row>
    <row r="30" spans="1:36" x14ac:dyDescent="0.2">
      <c r="A30" t="s">
        <v>84</v>
      </c>
      <c r="B30" t="s">
        <v>85</v>
      </c>
      <c r="C30" t="s">
        <v>86</v>
      </c>
      <c r="D30" t="s">
        <v>87</v>
      </c>
      <c r="E30" t="s">
        <v>88</v>
      </c>
      <c r="F30" t="s">
        <v>86</v>
      </c>
      <c r="G30" t="s">
        <v>89</v>
      </c>
      <c r="H30" t="s">
        <v>90</v>
      </c>
      <c r="I30" t="s">
        <v>91</v>
      </c>
      <c r="J30" t="s">
        <v>92</v>
      </c>
      <c r="K30" t="s">
        <v>93</v>
      </c>
      <c r="L30" t="s">
        <v>94</v>
      </c>
      <c r="M30" t="s">
        <v>95</v>
      </c>
      <c r="N30" t="s">
        <v>96</v>
      </c>
      <c r="O30" t="s">
        <v>97</v>
      </c>
      <c r="P30" t="s">
        <v>98</v>
      </c>
      <c r="Q30" t="s">
        <v>99</v>
      </c>
      <c r="R30" t="s">
        <v>100</v>
      </c>
      <c r="S30" t="s">
        <v>101</v>
      </c>
      <c r="T30" t="s">
        <v>102</v>
      </c>
      <c r="U30" t="s">
        <v>103</v>
      </c>
      <c r="V30" t="s">
        <v>104</v>
      </c>
      <c r="W30" t="s">
        <v>105</v>
      </c>
      <c r="X30" t="s">
        <v>106</v>
      </c>
      <c r="Y30" t="s">
        <v>107</v>
      </c>
      <c r="Z30" t="s">
        <v>108</v>
      </c>
      <c r="AA30" t="s">
        <v>109</v>
      </c>
      <c r="AB30" t="s">
        <v>110</v>
      </c>
      <c r="AC30" t="s">
        <v>111</v>
      </c>
      <c r="AD30" t="s">
        <v>112</v>
      </c>
      <c r="AE30" t="s">
        <v>113</v>
      </c>
      <c r="AF30" t="s">
        <v>114</v>
      </c>
      <c r="AG30" t="s">
        <v>115</v>
      </c>
      <c r="AH30" t="s">
        <v>116</v>
      </c>
      <c r="AI30" t="s">
        <v>117</v>
      </c>
      <c r="AJ30" t="s">
        <v>118</v>
      </c>
    </row>
    <row r="31" spans="1:36" x14ac:dyDescent="0.2">
      <c r="A31" t="s">
        <v>79</v>
      </c>
      <c r="B31" t="s">
        <v>119</v>
      </c>
      <c r="C31" t="s">
        <v>81</v>
      </c>
      <c r="D31" t="s">
        <v>120</v>
      </c>
      <c r="E31" t="s">
        <v>121</v>
      </c>
      <c r="F31" t="s">
        <v>81</v>
      </c>
      <c r="G31" t="s">
        <v>122</v>
      </c>
      <c r="H31" t="s">
        <v>121</v>
      </c>
      <c r="I31" t="s">
        <v>121</v>
      </c>
      <c r="J31" t="s">
        <v>123</v>
      </c>
      <c r="K31" t="s">
        <v>121</v>
      </c>
      <c r="L31" t="s">
        <v>123</v>
      </c>
      <c r="M31" t="s">
        <v>123</v>
      </c>
      <c r="N31" t="s">
        <v>124</v>
      </c>
      <c r="O31" t="s">
        <v>121</v>
      </c>
      <c r="P31" t="s">
        <v>125</v>
      </c>
      <c r="Q31" t="s">
        <v>122</v>
      </c>
      <c r="R31" t="s">
        <v>126</v>
      </c>
      <c r="S31" t="s">
        <v>127</v>
      </c>
      <c r="T31" t="s">
        <v>124</v>
      </c>
      <c r="U31" t="s">
        <v>128</v>
      </c>
      <c r="V31" t="s">
        <v>129</v>
      </c>
      <c r="W31" t="s">
        <v>130</v>
      </c>
      <c r="X31" t="s">
        <v>123</v>
      </c>
      <c r="Y31" t="s">
        <v>123</v>
      </c>
      <c r="Z31" t="s">
        <v>123</v>
      </c>
      <c r="AA31" t="s">
        <v>123</v>
      </c>
      <c r="AB31" t="s">
        <v>123</v>
      </c>
      <c r="AC31" t="s">
        <v>123</v>
      </c>
      <c r="AD31" t="s">
        <v>123</v>
      </c>
      <c r="AE31" t="s">
        <v>123</v>
      </c>
      <c r="AF31" t="s">
        <v>123</v>
      </c>
      <c r="AG31" t="s">
        <v>122</v>
      </c>
      <c r="AH31" t="s">
        <v>122</v>
      </c>
      <c r="AI31" t="s">
        <v>131</v>
      </c>
      <c r="AJ31" t="s">
        <v>122</v>
      </c>
    </row>
    <row r="32" spans="1:36" x14ac:dyDescent="0.2">
      <c r="A32" s="1">
        <v>143.15264999999999</v>
      </c>
      <c r="B32" s="1">
        <v>21.776693499</v>
      </c>
      <c r="C32" s="1">
        <v>3.6360495274</v>
      </c>
      <c r="D32" s="1">
        <v>1</v>
      </c>
      <c r="E32" s="1">
        <v>-13977.378822000001</v>
      </c>
      <c r="F32" s="1">
        <v>3.6360495274</v>
      </c>
      <c r="G32" s="1">
        <v>0.1402827512</v>
      </c>
      <c r="H32" s="1">
        <v>-1672.9016216</v>
      </c>
      <c r="I32" s="1">
        <v>-1505.9318506</v>
      </c>
      <c r="J32" s="1">
        <v>-12.110019352</v>
      </c>
      <c r="K32" s="1">
        <v>-13810.409051000001</v>
      </c>
      <c r="L32" s="1">
        <v>17.341220315000001</v>
      </c>
      <c r="M32" s="1">
        <v>138.83604618000001</v>
      </c>
      <c r="N32" s="1">
        <v>0.49909758435000001</v>
      </c>
      <c r="O32" s="1">
        <v>618.91166422000003</v>
      </c>
      <c r="P32" s="1">
        <v>291.97899769999998</v>
      </c>
      <c r="Q32" s="1">
        <v>1.3216421276999999</v>
      </c>
      <c r="R32" s="1">
        <v>3.7030950680000001E-2</v>
      </c>
      <c r="S32" s="1">
        <v>7.4195812284000004E-2</v>
      </c>
      <c r="T32" s="1">
        <v>0.49909758435000001</v>
      </c>
      <c r="U32" s="1">
        <v>1.4226013473000001</v>
      </c>
      <c r="V32" s="1">
        <v>-9.8042985708000005E-2</v>
      </c>
      <c r="W32" s="1">
        <v>3.8315573501E-3</v>
      </c>
      <c r="X32" s="1">
        <v>-12.047812564999999</v>
      </c>
      <c r="Y32" s="1">
        <v>-7.1480869273999996</v>
      </c>
      <c r="Z32" s="1">
        <v>10.305149638</v>
      </c>
      <c r="AA32" s="1">
        <v>-21.752511622</v>
      </c>
      <c r="AB32" s="1">
        <v>-24.157831917999999</v>
      </c>
      <c r="AC32" s="1">
        <v>-4.8695263874999997</v>
      </c>
      <c r="AD32" s="1">
        <v>12.471693927</v>
      </c>
      <c r="AE32" s="1">
        <v>-96.473303501999993</v>
      </c>
      <c r="AF32" s="1">
        <v>-19.195899492999999</v>
      </c>
      <c r="AG32" s="1">
        <v>0.70847479373</v>
      </c>
      <c r="AH32" s="1">
        <v>1.5686597169000001</v>
      </c>
      <c r="AI32" s="5">
        <v>5.8993819609000002E-5</v>
      </c>
      <c r="AJ32" s="1">
        <v>4.0687486179999999</v>
      </c>
    </row>
    <row r="33" spans="1:36" x14ac:dyDescent="0.2">
      <c r="A33" s="1">
        <v>135.6183</v>
      </c>
      <c r="B33" s="1">
        <v>25.089442170000002</v>
      </c>
      <c r="C33" s="1">
        <v>2.6387424128000001</v>
      </c>
      <c r="D33" s="1">
        <v>1</v>
      </c>
      <c r="E33" s="1">
        <v>-13328.454817</v>
      </c>
      <c r="F33" s="1">
        <v>2.6387424128000001</v>
      </c>
      <c r="G33" s="1">
        <v>9.3272477135999995E-2</v>
      </c>
      <c r="H33" s="1">
        <v>-2286.3550796</v>
      </c>
      <c r="I33" s="1">
        <v>-2181.1816606000002</v>
      </c>
      <c r="J33" s="1">
        <v>-14.79144015</v>
      </c>
      <c r="K33" s="1">
        <v>-13223.281397999999</v>
      </c>
      <c r="L33" s="1">
        <v>18.026860989999999</v>
      </c>
      <c r="M33" s="1">
        <v>81.575728660999999</v>
      </c>
      <c r="N33" s="1">
        <v>0.70079243943000002</v>
      </c>
      <c r="O33" s="1">
        <v>1664.9733409</v>
      </c>
      <c r="P33" s="1">
        <v>360.03942291999999</v>
      </c>
      <c r="Q33" s="1">
        <v>1.5494525908000001</v>
      </c>
      <c r="R33" s="1">
        <v>1.6776104324999999E-2</v>
      </c>
      <c r="S33" s="1">
        <v>2.3938763293000001E-2</v>
      </c>
      <c r="T33" s="1">
        <v>0.70079243943000002</v>
      </c>
      <c r="U33" s="1">
        <v>0.62302891206</v>
      </c>
      <c r="V33" s="1">
        <v>-0.10802495448</v>
      </c>
      <c r="W33" s="1">
        <v>4.2435296138999996E-3</v>
      </c>
      <c r="X33" s="1">
        <v>-14.539004252</v>
      </c>
      <c r="Y33" s="1">
        <v>-7.5389520936999999</v>
      </c>
      <c r="Z33" s="1">
        <v>19.040349191000001</v>
      </c>
      <c r="AA33" s="1">
        <v>-27.156255941000001</v>
      </c>
      <c r="AB33" s="1">
        <v>-29.330444403000001</v>
      </c>
      <c r="AC33" s="1">
        <v>-5.5551670630999999</v>
      </c>
      <c r="AD33" s="1">
        <v>12.471693927</v>
      </c>
      <c r="AE33" s="1">
        <v>-97.503665787000003</v>
      </c>
      <c r="AF33" s="1">
        <v>-22.077956346000001</v>
      </c>
      <c r="AG33" s="1">
        <v>0.75341611336000003</v>
      </c>
      <c r="AH33" s="1">
        <v>1.9159949826</v>
      </c>
      <c r="AI33" s="5">
        <v>7.6986789009000006E-5</v>
      </c>
      <c r="AJ33" s="1">
        <v>5.671816014</v>
      </c>
    </row>
    <row r="34" spans="1:36" x14ac:dyDescent="0.2">
      <c r="A34" s="1">
        <v>128.08394999999999</v>
      </c>
      <c r="B34" s="1">
        <v>27.353605438999999</v>
      </c>
      <c r="C34" s="1">
        <v>1.8526819644000001</v>
      </c>
      <c r="D34" s="1">
        <v>1</v>
      </c>
      <c r="E34" s="1">
        <v>-12721.57861</v>
      </c>
      <c r="F34" s="1">
        <v>1.8526819644000001</v>
      </c>
      <c r="G34" s="1">
        <v>6.3600041364999998E-2</v>
      </c>
      <c r="H34" s="1">
        <v>-2758.8910126999999</v>
      </c>
      <c r="I34" s="1">
        <v>-2691.1601986000001</v>
      </c>
      <c r="J34" s="1">
        <v>-16.998141555</v>
      </c>
      <c r="K34" s="1">
        <v>-12653.847796</v>
      </c>
      <c r="L34" s="1">
        <v>18.594194492</v>
      </c>
      <c r="M34" s="1">
        <v>62.612548725000003</v>
      </c>
      <c r="N34" s="1">
        <v>0.8818318543</v>
      </c>
      <c r="O34" s="1">
        <v>3024.1499431000002</v>
      </c>
      <c r="P34" s="1">
        <v>418.57150135000001</v>
      </c>
      <c r="Q34" s="1">
        <v>1.7337793869</v>
      </c>
      <c r="R34" s="1">
        <v>1.0660262134000001E-2</v>
      </c>
      <c r="S34" s="1">
        <v>1.2088769625000001E-2</v>
      </c>
      <c r="T34" s="1">
        <v>0.8818318543</v>
      </c>
      <c r="U34" s="1">
        <v>0.21335492066</v>
      </c>
      <c r="V34" s="1">
        <v>-0.11947176612</v>
      </c>
      <c r="W34" s="1">
        <v>4.7358627617000004E-3</v>
      </c>
      <c r="X34" s="1">
        <v>-17.013261388</v>
      </c>
      <c r="Y34" s="1">
        <v>-7.7856624517000004</v>
      </c>
      <c r="Z34" s="1">
        <v>30.867548425999999</v>
      </c>
      <c r="AA34" s="1">
        <v>-31.709430960999999</v>
      </c>
      <c r="AB34" s="1">
        <v>-34.011402943999997</v>
      </c>
      <c r="AC34" s="1">
        <v>-6.1225005651000002</v>
      </c>
      <c r="AD34" s="1">
        <v>12.471693927</v>
      </c>
      <c r="AE34" s="1">
        <v>-98.793391330999995</v>
      </c>
      <c r="AF34" s="1">
        <v>-24.79892384</v>
      </c>
      <c r="AG34" s="1">
        <v>0.79653531371999997</v>
      </c>
      <c r="AH34" s="1">
        <v>2.2018379280999998</v>
      </c>
      <c r="AI34" s="5">
        <v>9.2714193223999999E-5</v>
      </c>
      <c r="AJ34" s="1">
        <v>7.2796228986999996</v>
      </c>
    </row>
    <row r="35" spans="1:36" x14ac:dyDescent="0.2">
      <c r="A35" s="1">
        <v>120.5496</v>
      </c>
      <c r="B35" s="1">
        <v>29.127301539000001</v>
      </c>
      <c r="C35" s="1">
        <v>1.2504215344</v>
      </c>
      <c r="D35" s="1">
        <v>1</v>
      </c>
      <c r="E35" s="1">
        <v>-12144.606555</v>
      </c>
      <c r="F35" s="1">
        <v>1.2504215344</v>
      </c>
      <c r="G35" s="1">
        <v>4.2830804686999999E-2</v>
      </c>
      <c r="H35" s="1">
        <v>-3164.5266829000002</v>
      </c>
      <c r="I35" s="1">
        <v>-3121.5971470999998</v>
      </c>
      <c r="J35" s="1">
        <v>-19.009332886999999</v>
      </c>
      <c r="K35" s="1">
        <v>-12101.677019000001</v>
      </c>
      <c r="L35" s="1">
        <v>19.059175663000001</v>
      </c>
      <c r="M35" s="1">
        <v>53.400139791000001</v>
      </c>
      <c r="N35" s="1">
        <v>1.0568988873</v>
      </c>
      <c r="O35" s="1">
        <v>4621.8906630000001</v>
      </c>
      <c r="P35" s="1">
        <v>472.01409034</v>
      </c>
      <c r="Q35" s="1">
        <v>1.9038339891</v>
      </c>
      <c r="R35" s="1">
        <v>7.8507929061999993E-3</v>
      </c>
      <c r="S35" s="1">
        <v>7.4281400052999998E-3</v>
      </c>
      <c r="T35" s="1">
        <v>1.0568988873</v>
      </c>
      <c r="U35" s="1">
        <v>-3.4454151640999998E-2</v>
      </c>
      <c r="V35" s="1">
        <v>-0.13271111527000001</v>
      </c>
      <c r="W35" s="1">
        <v>5.3300474574999998E-3</v>
      </c>
      <c r="X35" s="1">
        <v>-19.713187944000001</v>
      </c>
      <c r="Y35" s="1">
        <v>-7.9583474936999998</v>
      </c>
      <c r="Z35" s="1">
        <v>45.942389972000001</v>
      </c>
      <c r="AA35" s="1">
        <v>-35.929391305999999</v>
      </c>
      <c r="AB35" s="1">
        <v>-38.722520830999997</v>
      </c>
      <c r="AC35" s="1">
        <v>-6.5874817354999999</v>
      </c>
      <c r="AD35" s="1">
        <v>12.471693927</v>
      </c>
      <c r="AE35" s="1">
        <v>-100.38753359</v>
      </c>
      <c r="AF35" s="1">
        <v>-27.671535437999999</v>
      </c>
      <c r="AG35" s="1">
        <v>0.83725798083000003</v>
      </c>
      <c r="AH35" s="1">
        <v>2.4623556641</v>
      </c>
      <c r="AI35" s="5">
        <v>1.0902054111E-4</v>
      </c>
      <c r="AJ35" s="1">
        <v>9.1163705334999996</v>
      </c>
    </row>
    <row r="36" spans="1:36" x14ac:dyDescent="0.2">
      <c r="A36" s="1">
        <v>113.01524999999999</v>
      </c>
      <c r="B36" s="1">
        <v>30.619948311000002</v>
      </c>
      <c r="C36" s="1">
        <v>0.80411401182999998</v>
      </c>
      <c r="D36" s="1">
        <v>1</v>
      </c>
      <c r="E36" s="1">
        <v>-11593.558118000001</v>
      </c>
      <c r="F36" s="1">
        <v>0.80411401182999998</v>
      </c>
      <c r="G36" s="1">
        <v>2.7947434146E-2</v>
      </c>
      <c r="H36" s="1">
        <v>-3531.0407312000002</v>
      </c>
      <c r="I36" s="1">
        <v>-3504.7796152000001</v>
      </c>
      <c r="J36" s="1">
        <v>-20.941644709999998</v>
      </c>
      <c r="K36" s="1">
        <v>-11567.297001999999</v>
      </c>
      <c r="L36" s="1">
        <v>19.420187278</v>
      </c>
      <c r="M36" s="1">
        <v>48.049818903000002</v>
      </c>
      <c r="N36" s="1">
        <v>1.2341653797000001</v>
      </c>
      <c r="O36" s="1">
        <v>6412.9684416</v>
      </c>
      <c r="P36" s="1">
        <v>522.48606376999999</v>
      </c>
      <c r="Q36" s="1">
        <v>2.0754653760999999</v>
      </c>
      <c r="R36" s="1">
        <v>6.2850654355999999E-3</v>
      </c>
      <c r="S36" s="1">
        <v>5.0925633946999997E-3</v>
      </c>
      <c r="T36" s="1">
        <v>1.2341653797000001</v>
      </c>
      <c r="U36" s="1">
        <v>-0.19689737745999999</v>
      </c>
      <c r="V36" s="1">
        <v>-0.14817273307000001</v>
      </c>
      <c r="W36" s="1">
        <v>6.0551239179999997E-3</v>
      </c>
      <c r="X36" s="1">
        <v>-22.773980731999998</v>
      </c>
      <c r="Y36" s="1">
        <v>-8.0820947217000008</v>
      </c>
      <c r="Z36" s="1">
        <v>64.594001970999997</v>
      </c>
      <c r="AA36" s="1">
        <v>-40.073558396000003</v>
      </c>
      <c r="AB36" s="1">
        <v>-43.715625441999997</v>
      </c>
      <c r="AC36" s="1">
        <v>-6.9484933502999997</v>
      </c>
      <c r="AD36" s="1">
        <v>12.471693927</v>
      </c>
      <c r="AE36" s="1">
        <v>-102.35164725</v>
      </c>
      <c r="AF36" s="1">
        <v>-30.856075453999999</v>
      </c>
      <c r="AG36" s="1">
        <v>0.87484987652000001</v>
      </c>
      <c r="AH36" s="1">
        <v>2.7126558188000001</v>
      </c>
      <c r="AI36" s="5">
        <v>1.2804596480000001E-4</v>
      </c>
      <c r="AJ36" s="1">
        <v>11.409160785999999</v>
      </c>
    </row>
    <row r="37" spans="1:36" x14ac:dyDescent="0.2">
      <c r="A37" s="1">
        <v>105.48090000000001</v>
      </c>
      <c r="B37" s="1">
        <v>31.934390979</v>
      </c>
      <c r="C37" s="1">
        <v>0.48694694009</v>
      </c>
      <c r="D37" s="1">
        <v>1</v>
      </c>
      <c r="E37" s="1">
        <v>-11066.967644</v>
      </c>
      <c r="F37" s="1">
        <v>0.48694694009</v>
      </c>
      <c r="G37" s="1">
        <v>1.7386613150000001E-2</v>
      </c>
      <c r="H37" s="1">
        <v>-3871.8476340000002</v>
      </c>
      <c r="I37" s="1">
        <v>-3856.5992787</v>
      </c>
      <c r="J37" s="1">
        <v>-22.859259374000001</v>
      </c>
      <c r="K37" s="1">
        <v>-11051.719288</v>
      </c>
      <c r="L37" s="1">
        <v>19.665897993000002</v>
      </c>
      <c r="M37" s="1">
        <v>44.581427945999998</v>
      </c>
      <c r="N37" s="1">
        <v>1.4195316236</v>
      </c>
      <c r="O37" s="1">
        <v>8365.2045548000006</v>
      </c>
      <c r="P37" s="1">
        <v>571.19496151999999</v>
      </c>
      <c r="Q37" s="1">
        <v>2.2603341764999998</v>
      </c>
      <c r="R37" s="1">
        <v>5.3138570676000002E-3</v>
      </c>
      <c r="S37" s="1">
        <v>3.7433875930000002E-3</v>
      </c>
      <c r="T37" s="1">
        <v>1.4195316236</v>
      </c>
      <c r="U37" s="1">
        <v>-0.30869952685000002</v>
      </c>
      <c r="V37" s="1">
        <v>-0.16643045242000001</v>
      </c>
      <c r="W37" s="1">
        <v>6.9510757766999996E-3</v>
      </c>
      <c r="X37" s="1">
        <v>-26.319057592</v>
      </c>
      <c r="Y37" s="1">
        <v>-8.1699022730999999</v>
      </c>
      <c r="Z37" s="1">
        <v>87.330738022000006</v>
      </c>
      <c r="AA37" s="1">
        <v>-44.306941000000002</v>
      </c>
      <c r="AB37" s="1">
        <v>-49.178316965999997</v>
      </c>
      <c r="AC37" s="1">
        <v>-7.1942040655000001</v>
      </c>
      <c r="AD37" s="1">
        <v>12.471693927</v>
      </c>
      <c r="AE37" s="1">
        <v>-104.77460173999999</v>
      </c>
      <c r="AF37" s="1">
        <v>-34.488959864999998</v>
      </c>
      <c r="AG37" s="1">
        <v>0.90845157214000005</v>
      </c>
      <c r="AH37" s="1">
        <v>2.9610521910999998</v>
      </c>
      <c r="AI37" s="5">
        <v>1.5225256479E-4</v>
      </c>
      <c r="AJ37" s="1">
        <v>14.475452712999999</v>
      </c>
    </row>
    <row r="38" spans="1:36" x14ac:dyDescent="0.2">
      <c r="A38" s="1">
        <v>97.946550000000002</v>
      </c>
      <c r="B38" s="1">
        <v>33.129913651999999</v>
      </c>
      <c r="C38" s="1">
        <v>0.27335672231000002</v>
      </c>
      <c r="D38" s="1">
        <v>1</v>
      </c>
      <c r="E38" s="1">
        <v>-10564.51708</v>
      </c>
      <c r="F38" s="1">
        <v>0.27335672231000002</v>
      </c>
      <c r="G38" s="1">
        <v>1.0131788750000001E-2</v>
      </c>
      <c r="H38" s="1">
        <v>-4194.2483051999998</v>
      </c>
      <c r="I38" s="1">
        <v>-4185.9972507000002</v>
      </c>
      <c r="J38" s="1">
        <v>-24.803749269000001</v>
      </c>
      <c r="K38" s="1">
        <v>-10556.266025999999</v>
      </c>
      <c r="L38" s="1">
        <v>19.778920918000001</v>
      </c>
      <c r="M38" s="1">
        <v>42.125507022999997</v>
      </c>
      <c r="N38" s="1">
        <v>1.6178357401000001</v>
      </c>
      <c r="O38" s="1">
        <v>10452.163648</v>
      </c>
      <c r="P38" s="1">
        <v>618.87132845999997</v>
      </c>
      <c r="Q38" s="1">
        <v>2.4689456363</v>
      </c>
      <c r="R38" s="1">
        <v>4.6720547186999998E-3</v>
      </c>
      <c r="S38" s="1">
        <v>2.8878424445999999E-3</v>
      </c>
      <c r="T38" s="1">
        <v>1.6178357401000001</v>
      </c>
      <c r="U38" s="1">
        <v>-0.38863768882999999</v>
      </c>
      <c r="V38" s="1">
        <v>-0.18826651716000001</v>
      </c>
      <c r="W38" s="1">
        <v>8.0741407548000008E-3</v>
      </c>
      <c r="X38" s="1">
        <v>-30.489752115999998</v>
      </c>
      <c r="Y38" s="1">
        <v>-8.2302222392999997</v>
      </c>
      <c r="Z38" s="1">
        <v>114.85891506999999</v>
      </c>
      <c r="AA38" s="1">
        <v>-48.748840113999997</v>
      </c>
      <c r="AB38" s="1">
        <v>-55.293501384999999</v>
      </c>
      <c r="AC38" s="1">
        <v>-7.3072269912000003</v>
      </c>
      <c r="AD38" s="1">
        <v>12.471693927</v>
      </c>
      <c r="AE38" s="1">
        <v>-107.77578206</v>
      </c>
      <c r="AF38" s="1">
        <v>-38.719974354999998</v>
      </c>
      <c r="AG38" s="1">
        <v>0.93719387665999998</v>
      </c>
      <c r="AH38" s="1">
        <v>3.2129298205999999</v>
      </c>
      <c r="AI38" s="5">
        <v>1.8519673985E-4</v>
      </c>
      <c r="AJ38" s="1">
        <v>18.827336759000001</v>
      </c>
    </row>
    <row r="39" spans="1:36" x14ac:dyDescent="0.2">
      <c r="A39" s="1">
        <v>90.412199999999999</v>
      </c>
      <c r="B39" s="1">
        <v>34.244622624000002</v>
      </c>
      <c r="C39" s="1">
        <v>0.13925374699000001</v>
      </c>
      <c r="D39" s="1">
        <v>1</v>
      </c>
      <c r="E39" s="1">
        <v>-10086.555420999999</v>
      </c>
      <c r="F39" s="1">
        <v>0.13925374699000001</v>
      </c>
      <c r="G39" s="1">
        <v>5.4094521440999997E-3</v>
      </c>
      <c r="H39" s="1">
        <v>-4502.3383885000003</v>
      </c>
      <c r="I39" s="1">
        <v>-4498.2719471999999</v>
      </c>
      <c r="J39" s="1">
        <v>-26.804569188999999</v>
      </c>
      <c r="K39" s="1">
        <v>-10082.48898</v>
      </c>
      <c r="L39" s="1">
        <v>19.739480193999999</v>
      </c>
      <c r="M39" s="1">
        <v>40.220727433999997</v>
      </c>
      <c r="N39" s="1">
        <v>1.8331012777</v>
      </c>
      <c r="O39" s="1">
        <v>12649.075586999999</v>
      </c>
      <c r="P39" s="1">
        <v>665.90532422000001</v>
      </c>
      <c r="Q39" s="1">
        <v>2.7118044148</v>
      </c>
      <c r="R39" s="1">
        <v>4.2318989370999996E-3</v>
      </c>
      <c r="S39" s="1">
        <v>2.3086007241000001E-3</v>
      </c>
      <c r="T39" s="1">
        <v>1.8331012777</v>
      </c>
      <c r="U39" s="1">
        <v>-0.44824304718000002</v>
      </c>
      <c r="V39" s="1">
        <v>-0.21477291471000001</v>
      </c>
      <c r="W39" s="1">
        <v>9.5053800140999997E-3</v>
      </c>
      <c r="X39" s="1">
        <v>-35.465032415000003</v>
      </c>
      <c r="Y39" s="1">
        <v>-8.2694859305000001</v>
      </c>
      <c r="Z39" s="1">
        <v>148.12903084000001</v>
      </c>
      <c r="AA39" s="1">
        <v>-53.484632847</v>
      </c>
      <c r="AB39" s="1">
        <v>-62.269601604999998</v>
      </c>
      <c r="AC39" s="1">
        <v>-7.2677862662999999</v>
      </c>
      <c r="AD39" s="1">
        <v>12.471693927</v>
      </c>
      <c r="AE39" s="1">
        <v>-111.51690789</v>
      </c>
      <c r="AF39" s="1">
        <v>-43.734518346000002</v>
      </c>
      <c r="AG39" s="1">
        <v>0.96036096537000004</v>
      </c>
      <c r="AH39" s="1">
        <v>3.4721041059000002</v>
      </c>
      <c r="AI39" s="5">
        <v>2.3265477059999999E-4</v>
      </c>
      <c r="AJ39" s="1">
        <v>25.358769786</v>
      </c>
    </row>
    <row r="40" spans="1:36" x14ac:dyDescent="0.2">
      <c r="A40" s="1">
        <v>82.877849999999995</v>
      </c>
      <c r="B40" s="1">
        <v>35.304978706999997</v>
      </c>
      <c r="C40" s="1">
        <v>6.2505448850000006E-2</v>
      </c>
      <c r="D40" s="1">
        <v>1</v>
      </c>
      <c r="E40" s="1">
        <v>-9633.8895997</v>
      </c>
      <c r="F40" s="1">
        <v>6.2505448850000006E-2</v>
      </c>
      <c r="G40" s="1">
        <v>2.5692671435000002E-3</v>
      </c>
      <c r="H40" s="1">
        <v>-4798.2327367999997</v>
      </c>
      <c r="I40" s="1">
        <v>-4796.4622939000001</v>
      </c>
      <c r="J40" s="1">
        <v>-28.883027643999998</v>
      </c>
      <c r="K40" s="1">
        <v>-9632.1191567999995</v>
      </c>
      <c r="L40" s="1">
        <v>19.530951441999999</v>
      </c>
      <c r="M40" s="1">
        <v>38.582229140999999</v>
      </c>
      <c r="N40" s="1">
        <v>2.0682628128</v>
      </c>
      <c r="O40" s="1">
        <v>14929.797175</v>
      </c>
      <c r="P40" s="1">
        <v>712.33601212999997</v>
      </c>
      <c r="Q40" s="1">
        <v>2.9994827543000002</v>
      </c>
      <c r="R40" s="1">
        <v>3.9238813052000004E-3</v>
      </c>
      <c r="S40" s="1">
        <v>1.8971869922999999E-3</v>
      </c>
      <c r="T40" s="1">
        <v>2.0682628128</v>
      </c>
      <c r="U40" s="1">
        <v>-0.49539312158999999</v>
      </c>
      <c r="V40" s="1">
        <v>-0.24751669398000001</v>
      </c>
      <c r="W40" s="1">
        <v>1.1365001984000001E-2</v>
      </c>
      <c r="X40" s="1">
        <v>-41.483902909000001</v>
      </c>
      <c r="Y40" s="1">
        <v>-8.2931005424999995</v>
      </c>
      <c r="Z40" s="1">
        <v>188.41392572999999</v>
      </c>
      <c r="AA40" s="1">
        <v>-58.561389949000002</v>
      </c>
      <c r="AB40" s="1">
        <v>-70.366930554000007</v>
      </c>
      <c r="AC40" s="1">
        <v>-7.0592575148999996</v>
      </c>
      <c r="AD40" s="1">
        <v>12.471693927</v>
      </c>
      <c r="AE40" s="1">
        <v>-116.22066881000001</v>
      </c>
      <c r="AF40" s="1">
        <v>-49.777003452000002</v>
      </c>
      <c r="AG40" s="1">
        <v>0.97759202024000003</v>
      </c>
      <c r="AH40" s="1">
        <v>3.7413352241000002</v>
      </c>
      <c r="AI40" s="5">
        <v>3.0471024730000001E-4</v>
      </c>
      <c r="AJ40" s="1">
        <v>35.726551858000001</v>
      </c>
    </row>
    <row r="41" spans="1:36" x14ac:dyDescent="0.2">
      <c r="A41" s="1">
        <v>75.343500000000006</v>
      </c>
      <c r="B41" s="1">
        <v>36.330310650999998</v>
      </c>
      <c r="C41" s="1">
        <v>2.3714099895E-2</v>
      </c>
      <c r="D41" s="1">
        <v>1</v>
      </c>
      <c r="E41" s="1">
        <v>-9207.6793015999992</v>
      </c>
      <c r="F41" s="1">
        <v>2.3714099895E-2</v>
      </c>
      <c r="G41" s="1">
        <v>1.04197562E-3</v>
      </c>
      <c r="H41" s="1">
        <v>-5082.6587172999998</v>
      </c>
      <c r="I41" s="1">
        <v>-5082.0059813999997</v>
      </c>
      <c r="J41" s="1">
        <v>-31.05359108</v>
      </c>
      <c r="K41" s="1">
        <v>-9207.0265657</v>
      </c>
      <c r="L41" s="1">
        <v>19.148762152</v>
      </c>
      <c r="M41" s="1">
        <v>37.013797547999999</v>
      </c>
      <c r="N41" s="1">
        <v>2.3244280706999998</v>
      </c>
      <c r="O41" s="1">
        <v>17263.780683000001</v>
      </c>
      <c r="P41" s="1">
        <v>757.71417898000004</v>
      </c>
      <c r="Q41" s="1">
        <v>3.3412294086999998</v>
      </c>
      <c r="R41" s="1">
        <v>3.7060484267999998E-3</v>
      </c>
      <c r="S41" s="1">
        <v>1.5943915295E-3</v>
      </c>
      <c r="T41" s="1">
        <v>2.3244280706999998</v>
      </c>
      <c r="U41" s="1">
        <v>-0.5360014421</v>
      </c>
      <c r="V41" s="1">
        <v>-0.28882079391999999</v>
      </c>
      <c r="W41" s="1">
        <v>1.3837304092E-2</v>
      </c>
      <c r="X41" s="1">
        <v>-48.877919783000003</v>
      </c>
      <c r="Y41" s="1">
        <v>-8.3057991508000004</v>
      </c>
      <c r="Z41" s="1">
        <v>237.431443</v>
      </c>
      <c r="AA41" s="1">
        <v>-63.971743773999997</v>
      </c>
      <c r="AB41" s="1">
        <v>-79.931510863</v>
      </c>
      <c r="AC41" s="1">
        <v>-6.6770682245000001</v>
      </c>
      <c r="AD41" s="1">
        <v>12.471693927</v>
      </c>
      <c r="AE41" s="1">
        <v>-122.20067512</v>
      </c>
      <c r="AF41" s="1">
        <v>-57.183718933999998</v>
      </c>
      <c r="AG41" s="1">
        <v>0.98907628881999998</v>
      </c>
      <c r="AH41" s="1">
        <v>4.0224970724000002</v>
      </c>
      <c r="AI41" s="5">
        <v>4.1999322962999998E-4</v>
      </c>
      <c r="AJ41" s="1">
        <v>53.178160745</v>
      </c>
    </row>
    <row r="42" spans="1:36" x14ac:dyDescent="0.2">
      <c r="A42" s="1">
        <v>67.809150000000002</v>
      </c>
      <c r="B42" s="1">
        <v>37.335018914000003</v>
      </c>
      <c r="C42" s="1">
        <v>7.1609445673000002E-3</v>
      </c>
      <c r="D42" s="1">
        <v>1</v>
      </c>
      <c r="E42" s="1">
        <v>-8809.3801017000005</v>
      </c>
      <c r="F42" s="1">
        <v>7.1609445673000002E-3</v>
      </c>
      <c r="G42" s="1">
        <v>3.4019776076000001E-4</v>
      </c>
      <c r="H42" s="1">
        <v>-5355.3125864000003</v>
      </c>
      <c r="I42" s="1">
        <v>-5355.1207839999997</v>
      </c>
      <c r="J42" s="1">
        <v>-33.324201404</v>
      </c>
      <c r="K42" s="1">
        <v>-8809.1882992999999</v>
      </c>
      <c r="L42" s="1">
        <v>18.613632054</v>
      </c>
      <c r="M42" s="1">
        <v>35.376147646</v>
      </c>
      <c r="N42" s="1">
        <v>2.5995963396000001</v>
      </c>
      <c r="O42" s="1">
        <v>19612.284647</v>
      </c>
      <c r="P42" s="1">
        <v>800.81055629000002</v>
      </c>
      <c r="Q42" s="1">
        <v>3.7407476897</v>
      </c>
      <c r="R42" s="1">
        <v>3.5502697597999998E-3</v>
      </c>
      <c r="S42" s="1">
        <v>1.3657003996000001E-3</v>
      </c>
      <c r="T42" s="1">
        <v>2.5995963396000001</v>
      </c>
      <c r="U42" s="1">
        <v>-0.57486142088000003</v>
      </c>
      <c r="V42" s="1">
        <v>-0.34226435069</v>
      </c>
      <c r="W42" s="1">
        <v>1.7216240054E-2</v>
      </c>
      <c r="X42" s="1">
        <v>-58.123745526999997</v>
      </c>
      <c r="Y42" s="1">
        <v>-8.3116340566000009</v>
      </c>
      <c r="Z42" s="1">
        <v>297.53650776000001</v>
      </c>
      <c r="AA42" s="1">
        <v>-69.626072542000003</v>
      </c>
      <c r="AB42" s="1">
        <v>-91.447946931000004</v>
      </c>
      <c r="AC42" s="1">
        <v>-6.1419381266000004</v>
      </c>
      <c r="AD42" s="1">
        <v>12.471693927</v>
      </c>
      <c r="AE42" s="1">
        <v>-129.91149866000001</v>
      </c>
      <c r="AF42" s="1">
        <v>-66.435379584000003</v>
      </c>
      <c r="AG42" s="1">
        <v>0.99565337354000005</v>
      </c>
      <c r="AH42" s="1">
        <v>4.3166183983000002</v>
      </c>
      <c r="AI42" s="5">
        <v>6.1479539932999996E-4</v>
      </c>
      <c r="AJ42" s="1">
        <v>84.456707774999998</v>
      </c>
    </row>
    <row r="43" spans="1:36" x14ac:dyDescent="0.2">
      <c r="A43" s="1">
        <v>60.274799999999999</v>
      </c>
      <c r="B43" s="1">
        <v>38.329529399000002</v>
      </c>
      <c r="C43" s="1">
        <v>1.573575708E-3</v>
      </c>
      <c r="D43" s="1">
        <v>1</v>
      </c>
      <c r="E43" s="1">
        <v>-8440.7198611999993</v>
      </c>
      <c r="F43" s="1">
        <v>1.573575708E-3</v>
      </c>
      <c r="G43" s="1">
        <v>8.1918915158999997E-5</v>
      </c>
      <c r="H43" s="1">
        <v>-5615.1687377999997</v>
      </c>
      <c r="I43" s="1">
        <v>-5615.1276839000002</v>
      </c>
      <c r="J43" s="1">
        <v>-35.696925503000003</v>
      </c>
      <c r="K43" s="1">
        <v>-8440.6788073999996</v>
      </c>
      <c r="L43" s="1">
        <v>17.988330414</v>
      </c>
      <c r="M43" s="1">
        <v>33.582235408000003</v>
      </c>
      <c r="N43" s="1">
        <v>2.8866388656000002</v>
      </c>
      <c r="O43" s="1">
        <v>21922.941708999999</v>
      </c>
      <c r="P43" s="1">
        <v>839.14068155999996</v>
      </c>
      <c r="Q43" s="1">
        <v>4.1866640317000003</v>
      </c>
      <c r="R43" s="1">
        <v>3.4352641598999999E-3</v>
      </c>
      <c r="S43" s="1">
        <v>1.1900567822E-3</v>
      </c>
      <c r="T43" s="1">
        <v>2.8866388656000002</v>
      </c>
      <c r="U43" s="1">
        <v>-0.61602354873999998</v>
      </c>
      <c r="V43" s="1">
        <v>-0.41362627347999997</v>
      </c>
      <c r="W43" s="1">
        <v>2.1993582575999999E-2</v>
      </c>
      <c r="X43" s="1">
        <v>-69.934243658</v>
      </c>
      <c r="Y43" s="1">
        <v>-8.3137815063999998</v>
      </c>
      <c r="Z43" s="1">
        <v>372.02964046</v>
      </c>
      <c r="AA43" s="1">
        <v>-75.310414821999998</v>
      </c>
      <c r="AB43" s="1">
        <v>-105.63116916</v>
      </c>
      <c r="AC43" s="1">
        <v>-5.5166364866000004</v>
      </c>
      <c r="AD43" s="1">
        <v>12.471693927</v>
      </c>
      <c r="AE43" s="1">
        <v>-140.03661244</v>
      </c>
      <c r="AF43" s="1">
        <v>-78.248025163999998</v>
      </c>
      <c r="AG43" s="1">
        <v>0.99870721192</v>
      </c>
      <c r="AH43" s="1">
        <v>4.6239669338000002</v>
      </c>
      <c r="AI43" s="5">
        <v>9.6376153867999996E-4</v>
      </c>
      <c r="AJ43" s="1">
        <v>144.46146841000001</v>
      </c>
    </row>
    <row r="44" spans="1:36" x14ac:dyDescent="0.2">
      <c r="A44" s="1">
        <v>52.740450000000003</v>
      </c>
      <c r="B44" s="1">
        <v>39.320395787999999</v>
      </c>
      <c r="C44" s="1">
        <v>2.1888926309000001E-4</v>
      </c>
      <c r="D44" s="1">
        <v>1</v>
      </c>
      <c r="E44" s="1">
        <v>-8103.7180416000001</v>
      </c>
      <c r="F44" s="1">
        <v>2.1888926309000001E-4</v>
      </c>
      <c r="G44" s="1">
        <v>1.2694878901000001E-5</v>
      </c>
      <c r="H44" s="1">
        <v>-5860.8405589000004</v>
      </c>
      <c r="I44" s="1">
        <v>-5860.8349920000001</v>
      </c>
      <c r="J44" s="1">
        <v>-38.170469572999998</v>
      </c>
      <c r="K44" s="1">
        <v>-8103.7124747999997</v>
      </c>
      <c r="L44" s="1">
        <v>17.392339408000002</v>
      </c>
      <c r="M44" s="1">
        <v>31.603518918999999</v>
      </c>
      <c r="N44" s="1">
        <v>3.1700193782000001</v>
      </c>
      <c r="O44" s="1">
        <v>24121.359338999999</v>
      </c>
      <c r="P44" s="1">
        <v>868.39156877999994</v>
      </c>
      <c r="Q44" s="1">
        <v>4.6353873836000004</v>
      </c>
      <c r="R44" s="1">
        <v>3.3422755961000001E-3</v>
      </c>
      <c r="S44" s="1">
        <v>1.0543391687E-3</v>
      </c>
      <c r="T44" s="1">
        <v>3.1700193782000001</v>
      </c>
      <c r="U44" s="1">
        <v>-0.66287236826999996</v>
      </c>
      <c r="V44" s="1">
        <v>-0.51279299546000001</v>
      </c>
      <c r="W44" s="1">
        <v>2.9041847034E-2</v>
      </c>
      <c r="X44" s="1">
        <v>-85.427325077000006</v>
      </c>
      <c r="Y44" s="1">
        <v>-8.3143570670999996</v>
      </c>
      <c r="Z44" s="1">
        <v>465.67400744000003</v>
      </c>
      <c r="AA44" s="1">
        <v>-80.620125113</v>
      </c>
      <c r="AB44" s="1">
        <v>-123.59779465</v>
      </c>
      <c r="AC44" s="1">
        <v>-4.9206454809000002</v>
      </c>
      <c r="AD44" s="1">
        <v>12.471693927</v>
      </c>
      <c r="AE44" s="1">
        <v>-153.65269873</v>
      </c>
      <c r="AF44" s="1">
        <v>-93.741682143999995</v>
      </c>
      <c r="AG44" s="1">
        <v>0.99977902920999995</v>
      </c>
      <c r="AH44" s="1">
        <v>4.9443750873000001</v>
      </c>
      <c r="AI44" s="5">
        <v>1.6298992751E-3</v>
      </c>
      <c r="AJ44" s="1">
        <v>268.50190535000002</v>
      </c>
    </row>
    <row r="45" spans="1:36" x14ac:dyDescent="0.2">
      <c r="A45" s="1">
        <v>45.206099999999999</v>
      </c>
      <c r="B45" s="1">
        <v>40.309467108</v>
      </c>
      <c r="C45" s="1">
        <v>1.5326728931000001E-5</v>
      </c>
      <c r="D45" s="1">
        <v>1</v>
      </c>
      <c r="E45" s="1">
        <v>-7800.7810263000001</v>
      </c>
      <c r="F45" s="1">
        <v>1.5326728931000001E-5</v>
      </c>
      <c r="G45" s="1">
        <v>1.0116055265000001E-6</v>
      </c>
      <c r="H45" s="1">
        <v>-6090.9806560999996</v>
      </c>
      <c r="I45" s="1">
        <v>-6090.9802759000004</v>
      </c>
      <c r="J45" s="1">
        <v>-40.745759397</v>
      </c>
      <c r="K45" s="1">
        <v>-7800.7806460000002</v>
      </c>
      <c r="L45" s="1">
        <v>16.999772116999999</v>
      </c>
      <c r="M45" s="1">
        <v>29.464278178000001</v>
      </c>
      <c r="N45" s="1">
        <v>3.4193634851999999</v>
      </c>
      <c r="O45" s="1">
        <v>26097.469213</v>
      </c>
      <c r="P45" s="1">
        <v>882.16848563999997</v>
      </c>
      <c r="Q45" s="1">
        <v>4.9899375816999996</v>
      </c>
      <c r="R45" s="1">
        <v>3.2504225246999998E-3</v>
      </c>
      <c r="S45" s="1">
        <v>9.5059286290999996E-4</v>
      </c>
      <c r="T45" s="1">
        <v>3.4193634851999999</v>
      </c>
      <c r="U45" s="1">
        <v>-0.71825269192999996</v>
      </c>
      <c r="V45" s="1">
        <v>-0.65796637069999997</v>
      </c>
      <c r="W45" s="1">
        <v>4.0028509020999997E-2</v>
      </c>
      <c r="X45" s="1">
        <v>-106.46396007</v>
      </c>
      <c r="Y45" s="1">
        <v>-8.3144542072000007</v>
      </c>
      <c r="Z45" s="1">
        <v>585.61417332999997</v>
      </c>
      <c r="AA45" s="1">
        <v>-84.827793357000004</v>
      </c>
      <c r="AB45" s="1">
        <v>-147.20971946</v>
      </c>
      <c r="AC45" s="1">
        <v>-4.5280781898000004</v>
      </c>
      <c r="AD45" s="1">
        <v>12.471693927</v>
      </c>
      <c r="AE45" s="1">
        <v>-172.56035460000001</v>
      </c>
      <c r="AF45" s="1">
        <v>-114.77841427</v>
      </c>
      <c r="AG45" s="1">
        <v>0.99930191024000004</v>
      </c>
      <c r="AH45" s="1">
        <v>5.2779627794000001</v>
      </c>
      <c r="AI45" s="5">
        <v>2.9952245933000002E-3</v>
      </c>
      <c r="AJ45" s="1">
        <v>547.51987008000003</v>
      </c>
    </row>
    <row r="46" spans="1:36" x14ac:dyDescent="0.2">
      <c r="A46" s="1">
        <v>143.15264999999999</v>
      </c>
      <c r="B46" s="1">
        <v>5.4134906681999997</v>
      </c>
      <c r="C46" s="1">
        <v>3.6360494816000002</v>
      </c>
      <c r="D46" s="1">
        <v>1</v>
      </c>
      <c r="E46" s="1">
        <v>-14482.073457</v>
      </c>
      <c r="F46" s="1">
        <v>3.6360494816000002</v>
      </c>
      <c r="G46" s="1">
        <v>0.56431138885999999</v>
      </c>
      <c r="H46" s="1">
        <v>751.63686174999998</v>
      </c>
      <c r="I46" s="1">
        <v>1423.3013578</v>
      </c>
      <c r="J46" s="1">
        <v>-3.220999323</v>
      </c>
      <c r="K46" s="1">
        <v>-13810.408960999999</v>
      </c>
      <c r="L46" s="1">
        <v>15.124013995</v>
      </c>
      <c r="M46" s="1">
        <v>86.116118396999994</v>
      </c>
      <c r="N46" s="1">
        <v>6.0855802190000002E-2</v>
      </c>
      <c r="O46" s="1">
        <v>254.82295062</v>
      </c>
      <c r="P46" s="1">
        <v>157.99885757999999</v>
      </c>
      <c r="Q46" s="1">
        <v>0.74328869681999998</v>
      </c>
      <c r="R46" s="1">
        <v>4.4114977186999998E-2</v>
      </c>
      <c r="S46" s="1">
        <v>0.72490996091000004</v>
      </c>
      <c r="T46" s="1">
        <v>6.0855802190000002E-2</v>
      </c>
      <c r="U46" s="1">
        <v>11.401337507999999</v>
      </c>
      <c r="V46" s="1">
        <v>-9.8042985708000005E-2</v>
      </c>
      <c r="W46" s="1">
        <v>3.8315573501E-3</v>
      </c>
      <c r="X46" s="1">
        <v>-4.0000976941999999</v>
      </c>
      <c r="Y46" s="1">
        <v>-3.6225166705</v>
      </c>
      <c r="Z46" s="1">
        <v>0.71064919579999997</v>
      </c>
      <c r="AA46" s="1">
        <v>-6.5495627054999996</v>
      </c>
      <c r="AB46" s="1">
        <v>-7.2210970172</v>
      </c>
      <c r="AC46" s="1">
        <v>-2.6523200677999998</v>
      </c>
      <c r="AD46" s="1">
        <v>12.471693927</v>
      </c>
      <c r="AE46" s="1">
        <v>-96.473302873999998</v>
      </c>
      <c r="AF46" s="1">
        <v>-7.6226143647000004</v>
      </c>
      <c r="AG46" s="1">
        <v>0.70847485617999995</v>
      </c>
      <c r="AH46" s="1">
        <v>0.41722905133999999</v>
      </c>
      <c r="AI46" s="5">
        <v>1.3707748288E-5</v>
      </c>
      <c r="AJ46" s="1">
        <v>0.91188911164999997</v>
      </c>
    </row>
    <row r="47" spans="1:36" x14ac:dyDescent="0.2">
      <c r="A47" s="1">
        <v>135.6183</v>
      </c>
      <c r="B47" s="1">
        <v>3.5076397919</v>
      </c>
      <c r="C47" s="1">
        <v>2.6387424136000002</v>
      </c>
      <c r="D47" s="1">
        <v>1</v>
      </c>
      <c r="E47" s="1">
        <v>-13975.565718</v>
      </c>
      <c r="F47" s="1">
        <v>2.6387424136000002</v>
      </c>
      <c r="G47" s="1">
        <v>0.66715927537999997</v>
      </c>
      <c r="H47" s="1">
        <v>983.46434452000005</v>
      </c>
      <c r="I47" s="1">
        <v>1735.7486639000001</v>
      </c>
      <c r="J47" s="1">
        <v>-2.2681573889000002</v>
      </c>
      <c r="K47" s="1">
        <v>-13223.281397999999</v>
      </c>
      <c r="L47" s="1">
        <v>14.582196149</v>
      </c>
      <c r="M47" s="1">
        <v>49.291655896999998</v>
      </c>
      <c r="N47" s="1">
        <v>3.6543171364000003E-2</v>
      </c>
      <c r="O47" s="1">
        <v>424.08502254000001</v>
      </c>
      <c r="P47" s="1">
        <v>157.04629403000001</v>
      </c>
      <c r="Q47" s="1">
        <v>0.71444419278000004</v>
      </c>
      <c r="R47" s="1">
        <v>2.4566218572E-2</v>
      </c>
      <c r="S47" s="1">
        <v>0.67225195992999998</v>
      </c>
      <c r="T47" s="1">
        <v>3.6543171364000003E-2</v>
      </c>
      <c r="U47" s="1">
        <v>13.485623009999999</v>
      </c>
      <c r="V47" s="1">
        <v>-0.10802495448</v>
      </c>
      <c r="W47" s="1">
        <v>4.2435296138999996E-3</v>
      </c>
      <c r="X47" s="1">
        <v>-2.9518282916</v>
      </c>
      <c r="Y47" s="1">
        <v>-2.7673917626</v>
      </c>
      <c r="Z47" s="1">
        <v>0.34736956160999999</v>
      </c>
      <c r="AA47" s="1">
        <v>-4.8710945013</v>
      </c>
      <c r="AB47" s="1">
        <v>-5.2199856804999998</v>
      </c>
      <c r="AC47" s="1">
        <v>-2.110502222</v>
      </c>
      <c r="AD47" s="1">
        <v>12.471693927</v>
      </c>
      <c r="AE47" s="1">
        <v>-97.503665788999996</v>
      </c>
      <c r="AF47" s="1">
        <v>-5.7192200542</v>
      </c>
      <c r="AG47" s="1">
        <v>0.75341611290999999</v>
      </c>
      <c r="AH47" s="1">
        <v>0.29380358726</v>
      </c>
      <c r="AI47" s="5">
        <v>1.1874520056E-5</v>
      </c>
      <c r="AJ47" s="1">
        <v>0.83581656355</v>
      </c>
    </row>
    <row r="48" spans="1:36" x14ac:dyDescent="0.2">
      <c r="A48" s="1">
        <v>128.08394999999999</v>
      </c>
      <c r="B48" s="1">
        <v>2.3369282187999998</v>
      </c>
      <c r="C48" s="1">
        <v>1.8526819636</v>
      </c>
      <c r="D48" s="1">
        <v>1</v>
      </c>
      <c r="E48" s="1">
        <v>-13446.632933999999</v>
      </c>
      <c r="F48" s="1">
        <v>1.8526819636</v>
      </c>
      <c r="G48" s="1">
        <v>0.74443469108000004</v>
      </c>
      <c r="H48" s="1">
        <v>1103.0298235</v>
      </c>
      <c r="I48" s="1">
        <v>1895.8149628000001</v>
      </c>
      <c r="J48" s="1">
        <v>-1.6395554653</v>
      </c>
      <c r="K48" s="1">
        <v>-12653.847795</v>
      </c>
      <c r="L48" s="1">
        <v>14.136102123000001</v>
      </c>
      <c r="M48" s="1">
        <v>37.047002661999997</v>
      </c>
      <c r="N48" s="1">
        <v>2.3050094815000002E-2</v>
      </c>
      <c r="O48" s="1">
        <v>543.88519760999998</v>
      </c>
      <c r="P48" s="1">
        <v>156.59983849</v>
      </c>
      <c r="Q48" s="1">
        <v>0.69774650441999997</v>
      </c>
      <c r="R48" s="1">
        <v>1.8135106242000001E-2</v>
      </c>
      <c r="S48" s="1">
        <v>0.78676926873999997</v>
      </c>
      <c r="T48" s="1">
        <v>2.3050094815000002E-2</v>
      </c>
      <c r="U48" s="1">
        <v>15.27921364</v>
      </c>
      <c r="V48" s="1">
        <v>-0.11947176612</v>
      </c>
      <c r="W48" s="1">
        <v>4.7358627617000004E-3</v>
      </c>
      <c r="X48" s="1">
        <v>-2.2203660779000001</v>
      </c>
      <c r="Y48" s="1">
        <v>-2.1248882075000002</v>
      </c>
      <c r="Z48" s="1">
        <v>0.1816319156</v>
      </c>
      <c r="AA48" s="1">
        <v>-3.6738414315000001</v>
      </c>
      <c r="AB48" s="1">
        <v>-3.8599215431</v>
      </c>
      <c r="AC48" s="1">
        <v>-1.6644081955000001</v>
      </c>
      <c r="AD48" s="1">
        <v>12.471693927</v>
      </c>
      <c r="AE48" s="1">
        <v>-98.793391327999998</v>
      </c>
      <c r="AF48" s="1">
        <v>-4.3452542854000002</v>
      </c>
      <c r="AG48" s="1">
        <v>0.79653531443000003</v>
      </c>
      <c r="AH48" s="1">
        <v>0.21237824127999999</v>
      </c>
      <c r="AI48" s="5">
        <v>1.0925497119E-5</v>
      </c>
      <c r="AJ48" s="1">
        <v>0.82341264895999999</v>
      </c>
    </row>
    <row r="49" spans="1:36" x14ac:dyDescent="0.2">
      <c r="A49" s="1">
        <v>120.5496</v>
      </c>
      <c r="B49" s="1">
        <v>1.5463739110000001</v>
      </c>
      <c r="C49" s="1">
        <v>1.2504215353000001</v>
      </c>
      <c r="D49" s="1">
        <v>1</v>
      </c>
      <c r="E49" s="1">
        <v>-12910.292275</v>
      </c>
      <c r="F49" s="1">
        <v>1.2504215353000001</v>
      </c>
      <c r="G49" s="1">
        <v>0.80675556878999999</v>
      </c>
      <c r="H49" s="1">
        <v>1161.7047634</v>
      </c>
      <c r="I49" s="1">
        <v>1970.320019</v>
      </c>
      <c r="J49" s="1">
        <v>-1.1794383113</v>
      </c>
      <c r="K49" s="1">
        <v>-12101.677019000001</v>
      </c>
      <c r="L49" s="1">
        <v>13.756219249999999</v>
      </c>
      <c r="M49" s="1">
        <v>30.931431613000001</v>
      </c>
      <c r="N49" s="1">
        <v>1.4606944631000001E-2</v>
      </c>
      <c r="O49" s="1">
        <v>626.25815759</v>
      </c>
      <c r="P49" s="1">
        <v>155.65144359999999</v>
      </c>
      <c r="Q49" s="1">
        <v>0.68666637294999999</v>
      </c>
      <c r="R49" s="1">
        <v>1.5083129957000001E-2</v>
      </c>
      <c r="S49" s="1">
        <v>1.0325999267999999</v>
      </c>
      <c r="T49" s="1">
        <v>1.4606944631000001E-2</v>
      </c>
      <c r="U49" s="1">
        <v>17.107225905</v>
      </c>
      <c r="V49" s="1">
        <v>-0.13271111527000001</v>
      </c>
      <c r="W49" s="1">
        <v>5.3300474574999998E-3</v>
      </c>
      <c r="X49" s="1">
        <v>-1.655518842</v>
      </c>
      <c r="Y49" s="1">
        <v>-1.6067235995</v>
      </c>
      <c r="Z49" s="1">
        <v>9.4009347280999994E-2</v>
      </c>
      <c r="AA49" s="1">
        <v>-2.7381941588999998</v>
      </c>
      <c r="AB49" s="1">
        <v>-2.8349571533</v>
      </c>
      <c r="AC49" s="1">
        <v>-1.2845253223999999</v>
      </c>
      <c r="AD49" s="1">
        <v>12.471693927</v>
      </c>
      <c r="AE49" s="1">
        <v>-100.38753359</v>
      </c>
      <c r="AF49" s="1">
        <v>-3.2622424415000002</v>
      </c>
      <c r="AG49" s="1">
        <v>0.83725798026999998</v>
      </c>
      <c r="AH49" s="1">
        <v>0.152777408</v>
      </c>
      <c r="AI49" s="5">
        <v>1.0352265550000001E-5</v>
      </c>
      <c r="AJ49" s="1">
        <v>0.83732173263999998</v>
      </c>
    </row>
    <row r="50" spans="1:36" x14ac:dyDescent="0.2">
      <c r="A50" s="1">
        <v>113.01524999999999</v>
      </c>
      <c r="B50" s="1">
        <v>0.99737817085000002</v>
      </c>
      <c r="C50" s="1">
        <v>0.80411401451999998</v>
      </c>
      <c r="D50" s="1">
        <v>1</v>
      </c>
      <c r="E50" s="1">
        <v>-12373.524808</v>
      </c>
      <c r="F50" s="1">
        <v>0.80411401451999998</v>
      </c>
      <c r="G50" s="1">
        <v>0.85799851734999999</v>
      </c>
      <c r="H50" s="1">
        <v>1179.5320815</v>
      </c>
      <c r="I50" s="1">
        <v>1985.7598876</v>
      </c>
      <c r="J50" s="1">
        <v>-0.83037890959000005</v>
      </c>
      <c r="K50" s="1">
        <v>-11567.297001999999</v>
      </c>
      <c r="L50" s="1">
        <v>13.432658723999999</v>
      </c>
      <c r="M50" s="1">
        <v>27.299470122999999</v>
      </c>
      <c r="N50" s="1">
        <v>9.0970589104000001E-3</v>
      </c>
      <c r="O50" s="1">
        <v>678.02036409000004</v>
      </c>
      <c r="P50" s="1">
        <v>153.97261161</v>
      </c>
      <c r="Q50" s="1">
        <v>0.67901468572000001</v>
      </c>
      <c r="R50" s="1">
        <v>1.3452357813000001E-2</v>
      </c>
      <c r="S50" s="1">
        <v>1.4787590083</v>
      </c>
      <c r="T50" s="1">
        <v>9.0970589104000001E-3</v>
      </c>
      <c r="U50" s="1">
        <v>19.109871340000002</v>
      </c>
      <c r="V50" s="1">
        <v>-0.14817273307000001</v>
      </c>
      <c r="W50" s="1">
        <v>6.0551239179999997E-3</v>
      </c>
      <c r="X50" s="1">
        <v>-1.2043865368</v>
      </c>
      <c r="Y50" s="1">
        <v>-1.1806660192</v>
      </c>
      <c r="Z50" s="1">
        <v>4.6239983815000003E-2</v>
      </c>
      <c r="AA50" s="1">
        <v>-1.9871759432</v>
      </c>
      <c r="AB50" s="1">
        <v>-2.0347654463999998</v>
      </c>
      <c r="AC50" s="1">
        <v>-0.96096479718000005</v>
      </c>
      <c r="AD50" s="1">
        <v>12.471693927</v>
      </c>
      <c r="AE50" s="1">
        <v>-102.35164725</v>
      </c>
      <c r="AF50" s="1">
        <v>-2.3850525560000002</v>
      </c>
      <c r="AG50" s="1">
        <v>0.87484987368</v>
      </c>
      <c r="AH50" s="1">
        <v>0.10756233391</v>
      </c>
      <c r="AI50" s="5">
        <v>9.9235753871000006E-6</v>
      </c>
      <c r="AJ50" s="1">
        <v>0.86360837910999999</v>
      </c>
    </row>
    <row r="51" spans="1:36" x14ac:dyDescent="0.2">
      <c r="A51" s="1">
        <v>105.48090000000001</v>
      </c>
      <c r="B51" s="1">
        <v>0.61699624803999997</v>
      </c>
      <c r="C51" s="1">
        <v>0.48694693783999998</v>
      </c>
      <c r="D51" s="1">
        <v>1</v>
      </c>
      <c r="E51" s="1">
        <v>-11840.941167000001</v>
      </c>
      <c r="F51" s="1">
        <v>0.48694693783999998</v>
      </c>
      <c r="G51" s="1">
        <v>0.89989347801999997</v>
      </c>
      <c r="H51" s="1">
        <v>1167.1112969000001</v>
      </c>
      <c r="I51" s="1">
        <v>1956.3331753</v>
      </c>
      <c r="J51" s="1">
        <v>-0.56405389123000005</v>
      </c>
      <c r="K51" s="1">
        <v>-11051.719288</v>
      </c>
      <c r="L51" s="1">
        <v>13.161239885000001</v>
      </c>
      <c r="M51" s="1">
        <v>24.949258948000001</v>
      </c>
      <c r="N51" s="1">
        <v>5.4712897998000004E-3</v>
      </c>
      <c r="O51" s="1">
        <v>703.63492674999998</v>
      </c>
      <c r="P51" s="1">
        <v>151.48865373000001</v>
      </c>
      <c r="Q51" s="1">
        <v>0.67376801566</v>
      </c>
      <c r="R51" s="1">
        <v>1.2602589985000001E-2</v>
      </c>
      <c r="S51" s="1">
        <v>2.3034038492</v>
      </c>
      <c r="T51" s="1">
        <v>5.4712897998000004E-3</v>
      </c>
      <c r="U51" s="1">
        <v>21.394121705</v>
      </c>
      <c r="V51" s="1">
        <v>-0.16643045242000001</v>
      </c>
      <c r="W51" s="1">
        <v>6.9510757766999996E-3</v>
      </c>
      <c r="X51" s="1">
        <v>-0.84297053736000005</v>
      </c>
      <c r="Y51" s="1">
        <v>-0.83233193481000001</v>
      </c>
      <c r="Z51" s="1">
        <v>2.0934310700999999E-2</v>
      </c>
      <c r="AA51" s="1">
        <v>-1.3854917976000001</v>
      </c>
      <c r="AB51" s="1">
        <v>-1.4070244286</v>
      </c>
      <c r="AC51" s="1">
        <v>-0.68954595788999995</v>
      </c>
      <c r="AD51" s="1">
        <v>12.471693927</v>
      </c>
      <c r="AE51" s="1">
        <v>-104.77460173999999</v>
      </c>
      <c r="AF51" s="1">
        <v>-1.6753024722000001</v>
      </c>
      <c r="AG51" s="1">
        <v>0.90845157625999995</v>
      </c>
      <c r="AH51" s="1">
        <v>7.3064178642000002E-2</v>
      </c>
      <c r="AI51" s="5">
        <v>9.5221259223000001E-6</v>
      </c>
      <c r="AJ51" s="1">
        <v>0.89460231869999995</v>
      </c>
    </row>
    <row r="52" spans="1:36" x14ac:dyDescent="0.2">
      <c r="A52" s="1">
        <v>97.946550000000002</v>
      </c>
      <c r="B52" s="1">
        <v>0.35964651491999999</v>
      </c>
      <c r="C52" s="1">
        <v>0.27335672547000001</v>
      </c>
      <c r="D52" s="1">
        <v>1</v>
      </c>
      <c r="E52" s="1">
        <v>-11316.336546</v>
      </c>
      <c r="F52" s="1">
        <v>0.27335672547000001</v>
      </c>
      <c r="G52" s="1">
        <v>0.93332001387999997</v>
      </c>
      <c r="H52" s="1">
        <v>1131.2010332</v>
      </c>
      <c r="I52" s="1">
        <v>1891.2715862</v>
      </c>
      <c r="J52" s="1">
        <v>-0.36385991977999999</v>
      </c>
      <c r="K52" s="1">
        <v>-10556.265993000001</v>
      </c>
      <c r="L52" s="1">
        <v>12.939864849999999</v>
      </c>
      <c r="M52" s="1">
        <v>23.368980434000001</v>
      </c>
      <c r="N52" s="1">
        <v>3.1195373957999999E-3</v>
      </c>
      <c r="O52" s="1">
        <v>706.59464620000006</v>
      </c>
      <c r="P52" s="1">
        <v>148.17201005999999</v>
      </c>
      <c r="Q52" s="1">
        <v>0.67032373848000004</v>
      </c>
      <c r="R52" s="1">
        <v>1.2275635865999999E-2</v>
      </c>
      <c r="S52" s="1">
        <v>3.9350821320999998</v>
      </c>
      <c r="T52" s="1">
        <v>3.1195373957999999E-3</v>
      </c>
      <c r="U52" s="1">
        <v>24.076915905</v>
      </c>
      <c r="V52" s="1">
        <v>-0.18826651716000001</v>
      </c>
      <c r="W52" s="1">
        <v>8.0741407548000008E-3</v>
      </c>
      <c r="X52" s="1">
        <v>-0.55866731166000005</v>
      </c>
      <c r="Y52" s="1">
        <v>-0.55440825196999999</v>
      </c>
      <c r="Z52" s="1">
        <v>8.4379571230000002E-3</v>
      </c>
      <c r="AA52" s="1">
        <v>-0.91384421573999997</v>
      </c>
      <c r="AB52" s="1">
        <v>-0.92252723143000004</v>
      </c>
      <c r="AC52" s="1">
        <v>-0.46817092307000002</v>
      </c>
      <c r="AD52" s="1">
        <v>12.471693927</v>
      </c>
      <c r="AE52" s="1">
        <v>-107.77578172</v>
      </c>
      <c r="AF52" s="1">
        <v>-1.1130755636</v>
      </c>
      <c r="AG52" s="1">
        <v>0.93719390391000001</v>
      </c>
      <c r="AH52" s="1">
        <v>4.7132244972999997E-2</v>
      </c>
      <c r="AI52" s="5">
        <v>9.0836733724000006E-6</v>
      </c>
      <c r="AJ52" s="1">
        <v>0.92519412033000004</v>
      </c>
    </row>
    <row r="53" spans="1:36" x14ac:dyDescent="0.2">
      <c r="A53" s="1">
        <v>90.412199999999999</v>
      </c>
      <c r="B53" s="1">
        <v>0.19319268297</v>
      </c>
      <c r="C53" s="1">
        <v>0.13925374946999999</v>
      </c>
      <c r="D53" s="1">
        <v>1</v>
      </c>
      <c r="E53" s="1">
        <v>-10803.2912</v>
      </c>
      <c r="F53" s="1">
        <v>0.13925374946999999</v>
      </c>
      <c r="G53" s="1">
        <v>0.95885955785999999</v>
      </c>
      <c r="H53" s="1">
        <v>1076.7802681999999</v>
      </c>
      <c r="I53" s="1">
        <v>1797.5826678000001</v>
      </c>
      <c r="J53" s="1">
        <v>-0.21849423074999999</v>
      </c>
      <c r="K53" s="1">
        <v>-10082.488801</v>
      </c>
      <c r="L53" s="1">
        <v>12.766932540999999</v>
      </c>
      <c r="M53" s="1">
        <v>22.30221366</v>
      </c>
      <c r="N53" s="1">
        <v>1.6482082545999999E-3</v>
      </c>
      <c r="O53" s="1">
        <v>690.13866226000005</v>
      </c>
      <c r="P53" s="1">
        <v>144.02068494</v>
      </c>
      <c r="Q53" s="1">
        <v>0.66824366056999995</v>
      </c>
      <c r="R53" s="1">
        <v>1.2361895083E-2</v>
      </c>
      <c r="S53" s="1">
        <v>7.5002021426000001</v>
      </c>
      <c r="T53" s="1">
        <v>1.6482082545999999E-3</v>
      </c>
      <c r="U53" s="1">
        <v>27.309441975999999</v>
      </c>
      <c r="V53" s="1">
        <v>-0.21477291471000001</v>
      </c>
      <c r="W53" s="1">
        <v>9.5053800140999997E-3</v>
      </c>
      <c r="X53" s="1">
        <v>-0.34352082359000002</v>
      </c>
      <c r="Y53" s="1">
        <v>-0.34206066822999998</v>
      </c>
      <c r="Z53" s="1">
        <v>2.9058051216999999E-3</v>
      </c>
      <c r="AA53" s="1">
        <v>-0.55901978545999997</v>
      </c>
      <c r="AB53" s="1">
        <v>-0.56201505433999999</v>
      </c>
      <c r="AC53" s="1">
        <v>-0.29523861376999999</v>
      </c>
      <c r="AD53" s="1">
        <v>12.471693927</v>
      </c>
      <c r="AE53" s="1">
        <v>-111.51690591000001</v>
      </c>
      <c r="AF53" s="1">
        <v>-0.68558149182000006</v>
      </c>
      <c r="AG53" s="1">
        <v>0.96036117691</v>
      </c>
      <c r="AH53" s="1">
        <v>2.8302440168000001E-2</v>
      </c>
      <c r="AI53" s="5">
        <v>8.5762682919000003E-6</v>
      </c>
      <c r="AJ53" s="1">
        <v>0.95187099988000001</v>
      </c>
    </row>
    <row r="54" spans="1:36" x14ac:dyDescent="0.2">
      <c r="A54" s="1">
        <v>82.877849999999995</v>
      </c>
      <c r="B54" s="1">
        <v>9.2831909753E-2</v>
      </c>
      <c r="C54" s="1">
        <v>6.2505454416E-2</v>
      </c>
      <c r="D54" s="1">
        <v>1</v>
      </c>
      <c r="E54" s="1">
        <v>-10305.437679999999</v>
      </c>
      <c r="F54" s="1">
        <v>6.2505454416E-2</v>
      </c>
      <c r="G54" s="1">
        <v>0.9771201531</v>
      </c>
      <c r="H54" s="1">
        <v>1007.9750416000001</v>
      </c>
      <c r="I54" s="1">
        <v>1681.2936729</v>
      </c>
      <c r="J54" s="1">
        <v>-0.11887849456000001</v>
      </c>
      <c r="K54" s="1">
        <v>-9632.1190482000002</v>
      </c>
      <c r="L54" s="1">
        <v>12.640164772</v>
      </c>
      <c r="M54" s="1">
        <v>21.602450693000002</v>
      </c>
      <c r="N54" s="1">
        <v>7.8284320297999997E-4</v>
      </c>
      <c r="O54" s="1">
        <v>657.61949867999999</v>
      </c>
      <c r="P54" s="1">
        <v>139.05559683000001</v>
      </c>
      <c r="Q54" s="1">
        <v>0.66715195801000005</v>
      </c>
      <c r="R54" s="1">
        <v>1.2823389049E-2</v>
      </c>
      <c r="S54" s="1">
        <v>16.380533163999999</v>
      </c>
      <c r="T54" s="1">
        <v>7.8284320297999997E-4</v>
      </c>
      <c r="U54" s="1">
        <v>31.302989783000001</v>
      </c>
      <c r="V54" s="1">
        <v>-0.24751669398000001</v>
      </c>
      <c r="W54" s="1">
        <v>1.1365001984000001E-2</v>
      </c>
      <c r="X54" s="1">
        <v>-0.19063890922999999</v>
      </c>
      <c r="Y54" s="1">
        <v>-0.19023363176999999</v>
      </c>
      <c r="Z54" s="1">
        <v>8.0868140837999996E-4</v>
      </c>
      <c r="AA54" s="1">
        <v>-0.30868169121</v>
      </c>
      <c r="AB54" s="1">
        <v>-0.30951740379999998</v>
      </c>
      <c r="AC54" s="1">
        <v>-0.16847084527</v>
      </c>
      <c r="AD54" s="1">
        <v>12.471693927</v>
      </c>
      <c r="AE54" s="1">
        <v>-116.2206675</v>
      </c>
      <c r="AF54" s="1">
        <v>-0.38087254100000001</v>
      </c>
      <c r="AG54" s="1">
        <v>0.97759208725000002</v>
      </c>
      <c r="AH54" s="1">
        <v>1.5398811530000001E-2</v>
      </c>
      <c r="AI54" s="5">
        <v>7.9915494533000006E-6</v>
      </c>
      <c r="AJ54" s="1">
        <v>0.97254775015999995</v>
      </c>
    </row>
    <row r="55" spans="1:36" x14ac:dyDescent="0.2">
      <c r="A55" s="1">
        <v>75.343500000000006</v>
      </c>
      <c r="B55" s="1">
        <v>3.8277702588E-2</v>
      </c>
      <c r="C55" s="1">
        <v>2.3714102672000002E-2</v>
      </c>
      <c r="D55" s="1">
        <v>1</v>
      </c>
      <c r="E55" s="1">
        <v>-9826.5544124000007</v>
      </c>
      <c r="F55" s="1">
        <v>2.3714102672000002E-2</v>
      </c>
      <c r="G55" s="1">
        <v>0.98896484995</v>
      </c>
      <c r="H55" s="1">
        <v>928.4914589</v>
      </c>
      <c r="I55" s="1">
        <v>1548.0193059000001</v>
      </c>
      <c r="J55" s="1">
        <v>-5.6413712374000002E-2</v>
      </c>
      <c r="K55" s="1">
        <v>-9207.0265653999995</v>
      </c>
      <c r="L55" s="1">
        <v>12.555470884</v>
      </c>
      <c r="M55" s="1">
        <v>21.172979057999999</v>
      </c>
      <c r="N55" s="1">
        <v>3.2041446630000001E-4</v>
      </c>
      <c r="O55" s="1">
        <v>612.62764550999998</v>
      </c>
      <c r="P55" s="1">
        <v>133.32106239000001</v>
      </c>
      <c r="Q55" s="1">
        <v>0.66670428551000005</v>
      </c>
      <c r="R55" s="1">
        <v>1.3663742252E-2</v>
      </c>
      <c r="S55" s="1">
        <v>42.643961771000001</v>
      </c>
      <c r="T55" s="1">
        <v>3.2041446630000001E-4</v>
      </c>
      <c r="U55" s="1">
        <v>36.367518578000002</v>
      </c>
      <c r="V55" s="1">
        <v>-0.28882079391999999</v>
      </c>
      <c r="W55" s="1">
        <v>1.3837304092E-2</v>
      </c>
      <c r="X55" s="1">
        <v>-9.1835473107000007E-2</v>
      </c>
      <c r="Y55" s="1">
        <v>-9.1751342604000002E-2</v>
      </c>
      <c r="Z55" s="1">
        <v>1.6810742990000001E-4</v>
      </c>
      <c r="AA55" s="1">
        <v>-0.14807496914000001</v>
      </c>
      <c r="AB55" s="1">
        <v>-0.14824918547999999</v>
      </c>
      <c r="AC55" s="1">
        <v>-8.3776956289999996E-2</v>
      </c>
      <c r="AD55" s="1">
        <v>12.471693927</v>
      </c>
      <c r="AE55" s="1">
        <v>-122.20067511000001</v>
      </c>
      <c r="AF55" s="1">
        <v>-0.18358681570999999</v>
      </c>
      <c r="AG55" s="1">
        <v>0.98907617340999998</v>
      </c>
      <c r="AH55" s="1">
        <v>7.3074960086000002E-3</v>
      </c>
      <c r="AI55" s="5">
        <v>7.3388748550000001E-6</v>
      </c>
      <c r="AJ55" s="1">
        <v>0.98658094801999996</v>
      </c>
    </row>
    <row r="56" spans="1:36" x14ac:dyDescent="0.2">
      <c r="A56" s="1">
        <v>67.809150000000002</v>
      </c>
      <c r="B56" s="1">
        <v>1.2756943892E-2</v>
      </c>
      <c r="C56" s="1">
        <v>7.1609388258999998E-3</v>
      </c>
      <c r="D56" s="1">
        <v>1</v>
      </c>
      <c r="E56" s="1">
        <v>-9370.5248458000005</v>
      </c>
      <c r="F56" s="1">
        <v>7.1609388258999998E-3</v>
      </c>
      <c r="G56" s="1">
        <v>0.99563655343000002</v>
      </c>
      <c r="H56" s="1">
        <v>841.73604472</v>
      </c>
      <c r="I56" s="1">
        <v>1403.0725910000001</v>
      </c>
      <c r="J56" s="1">
        <v>-2.2091910310999999E-2</v>
      </c>
      <c r="K56" s="1">
        <v>-8809.1882994999996</v>
      </c>
      <c r="L56" s="1">
        <v>12.506045764</v>
      </c>
      <c r="M56" s="1">
        <v>20.938289441999999</v>
      </c>
      <c r="N56" s="1">
        <v>1.0634879841E-4</v>
      </c>
      <c r="O56" s="1">
        <v>558.87802805000001</v>
      </c>
      <c r="P56" s="1">
        <v>126.88056374</v>
      </c>
      <c r="Q56" s="1">
        <v>0.66660095012999998</v>
      </c>
      <c r="R56" s="1">
        <v>1.4916567784999999E-2</v>
      </c>
      <c r="S56" s="1">
        <v>140.26080227</v>
      </c>
      <c r="T56" s="1">
        <v>1.0634879841E-4</v>
      </c>
      <c r="U56" s="1">
        <v>42.977961487000002</v>
      </c>
      <c r="V56" s="1">
        <v>-0.34226435069</v>
      </c>
      <c r="W56" s="1">
        <v>1.7216240054E-2</v>
      </c>
      <c r="X56" s="1">
        <v>-3.6291354226000001E-2</v>
      </c>
      <c r="Y56" s="1">
        <v>-3.6279713370000001E-2</v>
      </c>
      <c r="Z56" s="1">
        <v>2.3274989657000001E-5</v>
      </c>
      <c r="AA56" s="1">
        <v>-5.8359084164999998E-2</v>
      </c>
      <c r="AB56" s="1">
        <v>-5.8383264536999997E-2</v>
      </c>
      <c r="AC56" s="1">
        <v>-3.4351837252999999E-2</v>
      </c>
      <c r="AD56" s="1">
        <v>12.471693927</v>
      </c>
      <c r="AE56" s="1">
        <v>-129.91149866000001</v>
      </c>
      <c r="AF56" s="1">
        <v>-7.2571067596000002E-2</v>
      </c>
      <c r="AG56" s="1">
        <v>0.99565417154000002</v>
      </c>
      <c r="AH56" s="1">
        <v>2.8616543678E-3</v>
      </c>
      <c r="AI56" s="5">
        <v>6.6390094323000002E-6</v>
      </c>
      <c r="AJ56" s="1">
        <v>0.99465876539999998</v>
      </c>
    </row>
    <row r="57" spans="1:36" x14ac:dyDescent="0.2">
      <c r="A57" s="1">
        <v>60.274799999999999</v>
      </c>
      <c r="B57" s="1">
        <v>3.1440198546000002E-3</v>
      </c>
      <c r="C57" s="1">
        <v>1.5735849456999999E-3</v>
      </c>
      <c r="D57" s="1">
        <v>1</v>
      </c>
      <c r="E57" s="1">
        <v>-8941.1797640000004</v>
      </c>
      <c r="F57" s="1">
        <v>1.5735849456999999E-3</v>
      </c>
      <c r="G57" s="1">
        <v>0.99869976816999995</v>
      </c>
      <c r="H57" s="1">
        <v>750.68118863999996</v>
      </c>
      <c r="I57" s="1">
        <v>1251.1821454999999</v>
      </c>
      <c r="J57" s="1">
        <v>-6.5699013536000004E-3</v>
      </c>
      <c r="K57" s="1">
        <v>-8440.6788070999992</v>
      </c>
      <c r="L57" s="1">
        <v>12.482378548</v>
      </c>
      <c r="M57" s="1">
        <v>20.831694483</v>
      </c>
      <c r="N57" s="1">
        <v>2.6161488381000001E-5</v>
      </c>
      <c r="O57" s="1">
        <v>499.84945128999999</v>
      </c>
      <c r="P57" s="1">
        <v>119.8006634</v>
      </c>
      <c r="Q57" s="1">
        <v>0.66662227159999998</v>
      </c>
      <c r="R57" s="1">
        <v>1.6647075476999999E-2</v>
      </c>
      <c r="S57" s="1">
        <v>636.3198926</v>
      </c>
      <c r="T57" s="1">
        <v>2.6161488381000001E-5</v>
      </c>
      <c r="U57" s="1">
        <v>51.899097439000002</v>
      </c>
      <c r="V57" s="1">
        <v>-0.41362627347999997</v>
      </c>
      <c r="W57" s="1">
        <v>2.1993582575999999E-2</v>
      </c>
      <c r="X57" s="1">
        <v>-1.0811632659E-2</v>
      </c>
      <c r="Y57" s="1">
        <v>-1.0810728984E-2</v>
      </c>
      <c r="Z57" s="1">
        <v>1.8072298360000001E-6</v>
      </c>
      <c r="AA57" s="1">
        <v>-1.7379653419E-2</v>
      </c>
      <c r="AB57" s="1">
        <v>-1.7381534013000001E-2</v>
      </c>
      <c r="AC57" s="1">
        <v>-1.0684620641E-2</v>
      </c>
      <c r="AD57" s="1">
        <v>12.471693927</v>
      </c>
      <c r="AE57" s="1">
        <v>-140.03661242999999</v>
      </c>
      <c r="AF57" s="1">
        <v>-2.1622361643E-2</v>
      </c>
      <c r="AG57" s="1">
        <v>0.99870134949</v>
      </c>
      <c r="AH57" s="1">
        <v>8.5102585697E-4</v>
      </c>
      <c r="AI57" s="5">
        <v>5.9168392621999999E-6</v>
      </c>
      <c r="AJ57" s="1">
        <v>0.99839982881</v>
      </c>
    </row>
    <row r="58" spans="1:36" x14ac:dyDescent="0.2">
      <c r="A58" s="1">
        <v>52.740450000000003</v>
      </c>
      <c r="B58" s="1">
        <v>4.9931298312999996E-4</v>
      </c>
      <c r="C58" s="1">
        <v>2.1889692719999999E-4</v>
      </c>
      <c r="D58" s="1">
        <v>1</v>
      </c>
      <c r="E58" s="1">
        <v>-8542.1087002000004</v>
      </c>
      <c r="F58" s="1">
        <v>2.1889692719999999E-4</v>
      </c>
      <c r="G58" s="1">
        <v>0.99974396304000002</v>
      </c>
      <c r="H58" s="1">
        <v>657.58175461999997</v>
      </c>
      <c r="I58" s="1">
        <v>1095.9779802</v>
      </c>
      <c r="J58" s="1">
        <v>-1.3029731326E-3</v>
      </c>
      <c r="K58" s="1">
        <v>-8103.7124746</v>
      </c>
      <c r="L58" s="1">
        <v>12.473906015000001</v>
      </c>
      <c r="M58" s="1">
        <v>20.795235794</v>
      </c>
      <c r="N58" s="1">
        <v>4.1521697081000003E-6</v>
      </c>
      <c r="O58" s="1">
        <v>438.28395440000003</v>
      </c>
      <c r="P58" s="1">
        <v>112.12035532</v>
      </c>
      <c r="Q58" s="1">
        <v>0.66665289515000004</v>
      </c>
      <c r="R58" s="1">
        <v>1.8973465661E-2</v>
      </c>
      <c r="S58" s="1">
        <v>4569.5303889999996</v>
      </c>
      <c r="T58" s="1">
        <v>4.1521697081000003E-6</v>
      </c>
      <c r="U58" s="1">
        <v>64.441461755999995</v>
      </c>
      <c r="V58" s="1">
        <v>-0.51279299546000001</v>
      </c>
      <c r="W58" s="1">
        <v>2.9041847034E-2</v>
      </c>
      <c r="X58" s="1">
        <v>-2.1288398317000001E-3</v>
      </c>
      <c r="Y58" s="1">
        <v>-2.1288097318000001E-3</v>
      </c>
      <c r="Z58" s="1">
        <v>6.0199261595000003E-8</v>
      </c>
      <c r="AA58" s="1">
        <v>-3.4317502920999999E-3</v>
      </c>
      <c r="AB58" s="1">
        <v>-3.4318129642999999E-3</v>
      </c>
      <c r="AC58" s="1">
        <v>-2.2120877950999999E-3</v>
      </c>
      <c r="AD58" s="1">
        <v>12.471693927</v>
      </c>
      <c r="AE58" s="1">
        <v>-153.65269873</v>
      </c>
      <c r="AF58" s="1">
        <v>-4.2576495633999999E-3</v>
      </c>
      <c r="AG58" s="1">
        <v>0.99974402497000003</v>
      </c>
      <c r="AH58" s="1">
        <v>1.6877937233000001E-4</v>
      </c>
      <c r="AI58" s="5">
        <v>5.1944429279999996E-6</v>
      </c>
      <c r="AJ58" s="1">
        <v>0.99968185227999995</v>
      </c>
    </row>
    <row r="59" spans="1:36" x14ac:dyDescent="0.2">
      <c r="A59" s="1">
        <v>45.206099999999999</v>
      </c>
      <c r="B59" s="1">
        <v>4.0750998698999999E-5</v>
      </c>
      <c r="C59" s="1">
        <v>1.5316440152999999E-5</v>
      </c>
      <c r="D59" s="1">
        <v>1</v>
      </c>
      <c r="E59" s="1">
        <v>-8176.6349969000003</v>
      </c>
      <c r="F59" s="1">
        <v>1.5316440152999999E-5</v>
      </c>
      <c r="G59" s="1">
        <v>0.99997318727999995</v>
      </c>
      <c r="H59" s="1">
        <v>563.7802848</v>
      </c>
      <c r="I59" s="1">
        <v>939.63463542</v>
      </c>
      <c r="J59" s="1">
        <v>-1.3892114188999999E-4</v>
      </c>
      <c r="K59" s="1">
        <v>-7800.7806462999997</v>
      </c>
      <c r="L59" s="1">
        <v>12.471939414</v>
      </c>
      <c r="M59" s="1">
        <v>20.787125781</v>
      </c>
      <c r="N59" s="1">
        <v>3.388283165E-7</v>
      </c>
      <c r="O59" s="1">
        <v>375.84427269000003</v>
      </c>
      <c r="P59" s="1">
        <v>103.81501785</v>
      </c>
      <c r="Q59" s="1">
        <v>0.66666468327999995</v>
      </c>
      <c r="R59" s="1">
        <v>2.2122464389999999E-2</v>
      </c>
      <c r="S59" s="1">
        <v>65291.073128000004</v>
      </c>
      <c r="T59" s="1">
        <v>3.388283165E-7</v>
      </c>
      <c r="U59" s="1">
        <v>83.033648630000002</v>
      </c>
      <c r="V59" s="1">
        <v>-0.65796637069999997</v>
      </c>
      <c r="W59" s="1">
        <v>4.0028509020999997E-2</v>
      </c>
      <c r="X59" s="1">
        <v>-2.2293363650000001E-4</v>
      </c>
      <c r="Y59" s="1">
        <v>-2.2293336014999999E-4</v>
      </c>
      <c r="Z59" s="1">
        <v>5.5268684681999999E-10</v>
      </c>
      <c r="AA59" s="1">
        <v>-3.6185420351000003E-4</v>
      </c>
      <c r="AB59" s="1">
        <v>-3.6185477837999999E-4</v>
      </c>
      <c r="AC59" s="1">
        <v>-2.4548633616000001E-4</v>
      </c>
      <c r="AD59" s="1">
        <v>12.471693927</v>
      </c>
      <c r="AE59" s="1">
        <v>-172.56035460000001</v>
      </c>
      <c r="AF59" s="1">
        <v>-4.4586699665E-4</v>
      </c>
      <c r="AG59" s="1">
        <v>0.99997318797000001</v>
      </c>
      <c r="AH59" s="1">
        <v>1.7995016585999999E-5</v>
      </c>
      <c r="AI59" s="6">
        <v>4.4867468159000003E-6</v>
      </c>
      <c r="AJ59" s="1">
        <v>0.99996606079000006</v>
      </c>
    </row>
    <row r="64" spans="1:36" x14ac:dyDescent="0.2">
      <c r="A64" t="s">
        <v>159</v>
      </c>
    </row>
    <row r="65" spans="1:9" x14ac:dyDescent="0.2">
      <c r="A65" t="s">
        <v>84</v>
      </c>
      <c r="B65" t="s">
        <v>86</v>
      </c>
      <c r="C65" t="s">
        <v>71</v>
      </c>
      <c r="D65" t="s">
        <v>72</v>
      </c>
      <c r="E65" t="s">
        <v>139</v>
      </c>
      <c r="F65" t="s">
        <v>102</v>
      </c>
      <c r="G65" t="s">
        <v>140</v>
      </c>
      <c r="H65" t="s">
        <v>141</v>
      </c>
    </row>
    <row r="66" spans="1:9" x14ac:dyDescent="0.2">
      <c r="A66" t="s">
        <v>79</v>
      </c>
      <c r="B66" t="s">
        <v>81</v>
      </c>
      <c r="C66" t="s">
        <v>142</v>
      </c>
      <c r="D66" t="s">
        <v>142</v>
      </c>
      <c r="E66" t="s">
        <v>143</v>
      </c>
      <c r="F66" t="s">
        <v>144</v>
      </c>
      <c r="G66" t="s">
        <v>121</v>
      </c>
      <c r="H66" t="s">
        <v>121</v>
      </c>
    </row>
    <row r="67" spans="1:9" x14ac:dyDescent="0.2">
      <c r="A67" s="1">
        <v>45.206099999999999</v>
      </c>
      <c r="B67" s="1">
        <v>1.5427711762E-3</v>
      </c>
      <c r="C67" s="1">
        <v>28.163317361000001</v>
      </c>
      <c r="D67" s="1">
        <v>4.1101440355000001E-3</v>
      </c>
      <c r="E67" s="1">
        <v>1.351E-9</v>
      </c>
      <c r="F67" s="1">
        <v>2.8680832241000001E-2</v>
      </c>
      <c r="G67" s="1">
        <v>-3252.2780800999999</v>
      </c>
      <c r="H67" s="1">
        <v>938.59667975000002</v>
      </c>
    </row>
    <row r="68" spans="1:9" x14ac:dyDescent="0.2">
      <c r="A68" s="1">
        <v>52.740450000000003</v>
      </c>
      <c r="B68" s="1">
        <v>7.5974406329000002E-3</v>
      </c>
      <c r="C68" s="1">
        <v>27.573993541</v>
      </c>
      <c r="D68" s="1">
        <v>1.7409589659999999E-2</v>
      </c>
      <c r="E68" s="1">
        <v>1.442E-9</v>
      </c>
      <c r="F68" s="1">
        <v>2.5836036281000001E-2</v>
      </c>
      <c r="G68" s="1">
        <v>-3078.2378456000001</v>
      </c>
      <c r="H68" s="1">
        <v>1091.7977599000001</v>
      </c>
    </row>
    <row r="69" spans="1:9" x14ac:dyDescent="0.2">
      <c r="A69" s="1">
        <v>60.274799999999999</v>
      </c>
      <c r="B69" s="1">
        <v>2.511540717E-2</v>
      </c>
      <c r="C69" s="1">
        <v>26.954765475999999</v>
      </c>
      <c r="D69" s="1">
        <v>5.0728567468000002E-2</v>
      </c>
      <c r="E69" s="1">
        <v>1.5400000000000001E-9</v>
      </c>
      <c r="F69" s="1">
        <v>2.3095720125999999E-2</v>
      </c>
      <c r="G69" s="1">
        <v>-2899.7101035000001</v>
      </c>
      <c r="H69" s="1">
        <v>1239.9490926000001</v>
      </c>
    </row>
    <row r="70" spans="1:9" x14ac:dyDescent="0.2">
      <c r="A70" s="1">
        <v>67.809150000000002</v>
      </c>
      <c r="B70" s="1">
        <v>6.3810022090999993E-2</v>
      </c>
      <c r="C70" s="1">
        <v>26.301422798000001</v>
      </c>
      <c r="D70" s="1">
        <v>0.1159797833</v>
      </c>
      <c r="E70" s="1">
        <v>1.645E-9</v>
      </c>
      <c r="F70" s="1">
        <v>2.0447928491000002E-2</v>
      </c>
      <c r="G70" s="1">
        <v>-2715.7217194999998</v>
      </c>
      <c r="H70" s="1">
        <v>1380.1619877000001</v>
      </c>
    </row>
    <row r="71" spans="1:9" x14ac:dyDescent="0.2">
      <c r="A71" s="1">
        <v>75.343500000000006</v>
      </c>
      <c r="B71" s="1">
        <v>0.13511042036000001</v>
      </c>
      <c r="C71" s="1">
        <v>25.609020952000002</v>
      </c>
      <c r="D71" s="1">
        <v>0.22499727046000001</v>
      </c>
      <c r="E71" s="1">
        <v>1.7639999999999999E-9</v>
      </c>
      <c r="F71" s="1">
        <v>1.7888470327E-2</v>
      </c>
      <c r="G71" s="1">
        <v>-2525.085376</v>
      </c>
      <c r="H71" s="1">
        <v>1509.6719832000001</v>
      </c>
    </row>
    <row r="72" spans="1:9" x14ac:dyDescent="0.2">
      <c r="A72" s="1">
        <v>82.877849999999995</v>
      </c>
      <c r="B72" s="1">
        <v>0.25093522946000002</v>
      </c>
      <c r="C72" s="1">
        <v>24.871615386999999</v>
      </c>
      <c r="D72" s="1">
        <v>0.38900894714000001</v>
      </c>
      <c r="E72" s="1">
        <v>1.904E-9</v>
      </c>
      <c r="F72" s="1">
        <v>1.5418798429E-2</v>
      </c>
      <c r="G72" s="1">
        <v>-2326.3874851999999</v>
      </c>
      <c r="H72" s="1">
        <v>1625.9793393</v>
      </c>
    </row>
    <row r="73" spans="1:9" x14ac:dyDescent="0.2">
      <c r="A73" s="1">
        <v>90.412199999999999</v>
      </c>
      <c r="B73" s="1">
        <v>0.42282151099999998</v>
      </c>
      <c r="C73" s="1">
        <v>24.081834448999999</v>
      </c>
      <c r="D73" s="1">
        <v>0.61902170767999998</v>
      </c>
      <c r="E73" s="1">
        <v>2.0649999999999998E-9</v>
      </c>
      <c r="F73" s="1">
        <v>1.3045127005000001E-2</v>
      </c>
      <c r="G73" s="1">
        <v>-2117.9375868000002</v>
      </c>
      <c r="H73" s="1">
        <v>1726.7637984</v>
      </c>
    </row>
    <row r="74" spans="1:9" x14ac:dyDescent="0.2">
      <c r="A74" s="1">
        <v>97.946550000000002</v>
      </c>
      <c r="B74" s="1">
        <v>0.66144480251000004</v>
      </c>
      <c r="C74" s="1">
        <v>23.230200753999998</v>
      </c>
      <c r="D74" s="1">
        <v>0.92679483813999997</v>
      </c>
      <c r="E74" s="1">
        <v>2.2609999999999999E-9</v>
      </c>
      <c r="F74" s="1">
        <v>1.077594319E-2</v>
      </c>
      <c r="G74" s="1">
        <v>-1897.6593230000001</v>
      </c>
      <c r="H74" s="1">
        <v>1809.6693336999999</v>
      </c>
    </row>
    <row r="75" spans="1:9" x14ac:dyDescent="0.2">
      <c r="A75" s="1">
        <v>105.48090000000001</v>
      </c>
      <c r="B75" s="1">
        <v>0.97640679518999995</v>
      </c>
      <c r="C75" s="1">
        <v>22.304005050000001</v>
      </c>
      <c r="D75" s="1">
        <v>1.3263014865</v>
      </c>
      <c r="E75" s="1">
        <v>2.4920000000000001E-9</v>
      </c>
      <c r="F75" s="1">
        <v>8.6229370191E-3</v>
      </c>
      <c r="G75" s="1">
        <v>-1662.8899885000001</v>
      </c>
      <c r="H75" s="1">
        <v>1871.9993141</v>
      </c>
    </row>
    <row r="76" spans="1:9" x14ac:dyDescent="0.2">
      <c r="A76" s="1">
        <v>113.01524999999999</v>
      </c>
      <c r="B76" s="1">
        <v>1.3762011008999999</v>
      </c>
      <c r="C76" s="1">
        <v>21.285309466000001</v>
      </c>
      <c r="D76" s="1">
        <v>1.8360305769</v>
      </c>
      <c r="E76" s="1">
        <v>2.7860000000000001E-9</v>
      </c>
      <c r="F76" s="1">
        <v>6.6009593064999999E-3</v>
      </c>
      <c r="G76" s="1">
        <v>-1410.012853</v>
      </c>
      <c r="H76" s="1">
        <v>1910.2618488999999</v>
      </c>
    </row>
    <row r="77" spans="1:9" x14ac:dyDescent="0.2">
      <c r="A77" s="4">
        <v>120.5496</v>
      </c>
      <c r="B77" s="4">
        <v>1.8682668958999999</v>
      </c>
      <c r="C77" s="4">
        <v>20.147057595</v>
      </c>
      <c r="D77" s="4">
        <v>2.4831074975999998</v>
      </c>
      <c r="E77" s="4">
        <v>3.1850000000000001E-9</v>
      </c>
      <c r="F77" s="4">
        <v>4.7304791961999999E-3</v>
      </c>
      <c r="G77" s="4">
        <v>-1133.7370887</v>
      </c>
      <c r="H77" s="4">
        <v>1919.3873111</v>
      </c>
      <c r="I77" s="4"/>
    </row>
    <row r="78" spans="1:9" x14ac:dyDescent="0.2">
      <c r="A78" s="4">
        <v>128.08394999999999</v>
      </c>
      <c r="B78" s="4">
        <v>2.4590884560999999</v>
      </c>
      <c r="C78" s="4">
        <v>18.844448637999999</v>
      </c>
      <c r="D78" s="4">
        <v>3.3121002949</v>
      </c>
      <c r="E78" s="4">
        <v>3.7520000000000003E-9</v>
      </c>
      <c r="F78" s="4">
        <v>3.0430686237E-3</v>
      </c>
      <c r="G78" s="4">
        <v>-825.50491732</v>
      </c>
      <c r="H78" s="4">
        <v>1891.0900919999999</v>
      </c>
      <c r="I78" s="4"/>
    </row>
    <row r="79" spans="1:9" x14ac:dyDescent="0.2">
      <c r="A79" s="4">
        <v>135.6183</v>
      </c>
      <c r="B79" s="4">
        <v>3.1542756678999999</v>
      </c>
      <c r="C79" s="4">
        <v>17.291604813999999</v>
      </c>
      <c r="D79" s="4">
        <v>4.4083859136000001</v>
      </c>
      <c r="E79" s="4">
        <v>4.2000000000000004E-9</v>
      </c>
      <c r="F79" s="4">
        <v>1.5945441399E-3</v>
      </c>
      <c r="G79" s="4">
        <v>-469.20592898000001</v>
      </c>
      <c r="H79" s="4">
        <v>1809.5705402000001</v>
      </c>
      <c r="I79" s="4"/>
    </row>
    <row r="80" spans="1:9" x14ac:dyDescent="0.2">
      <c r="A80" s="4">
        <v>143.15264999999999</v>
      </c>
      <c r="B80" s="4">
        <v>3.9587297961000001</v>
      </c>
      <c r="C80" s="4">
        <v>15.271713683</v>
      </c>
      <c r="D80" s="4">
        <v>5.9882755023999996</v>
      </c>
      <c r="E80" s="4">
        <v>4.2000000000000004E-9</v>
      </c>
      <c r="F80" s="4">
        <v>4.9520152291999996E-4</v>
      </c>
      <c r="G80" s="4">
        <v>-24.741418880000001</v>
      </c>
      <c r="H80" s="4">
        <v>1635.0248087</v>
      </c>
      <c r="I80" s="4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ook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32EA6D85-E46E-4C0A-BEA4-CBE991220F99}">
  <ds:schemaRefs/>
</ds:datastoreItem>
</file>

<file path=customXml/itemProps2.xml><?xml version="1.0" encoding="utf-8"?>
<ds:datastoreItem xmlns:ds="http://schemas.openxmlformats.org/officeDocument/2006/customXml" ds:itemID="{0EB8A4D0-2978-4CC7-A263-CA3830AE943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Ark1</vt:lpstr>
      <vt:lpstr>Reuslt MicTherm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Lautenschläger</dc:creator>
  <cp:lastModifiedBy>Zhang, Xueqi</cp:lastModifiedBy>
  <dcterms:created xsi:type="dcterms:W3CDTF">2025-03-02T09:13:53Z</dcterms:created>
  <dcterms:modified xsi:type="dcterms:W3CDTF">2026-06-26T14:56:48Z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sdu</vt:lpwstr>
  </property>
  <property fmtid="{D5CDD505-2E9C-101B-9397-08002B2CF9AE}" pid="3" name="TemplafyTemplateId">
    <vt:lpwstr>637910548563422675</vt:lpwstr>
  </property>
  <property fmtid="{D5CDD505-2E9C-101B-9397-08002B2CF9AE}" pid="4" name="TemplafyUserProfileId">
    <vt:lpwstr>638222334717492130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