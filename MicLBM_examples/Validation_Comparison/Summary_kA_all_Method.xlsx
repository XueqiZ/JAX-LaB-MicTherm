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y67my\Documents\GitHub\JAX-LaB-MicTherm\examples_SDU\Validation_Comparison\"/>
    </mc:Choice>
  </mc:AlternateContent>
  <xr:revisionPtr revIDLastSave="0" documentId="13_ncr:1_{117F07B0-60A7-439A-AB9D-6A91F5EC8666}" xr6:coauthVersionLast="47" xr6:coauthVersionMax="47" xr10:uidLastSave="{00000000-0000-0000-0000-000000000000}"/>
  <bookViews>
    <workbookView xWindow="38790" yWindow="390" windowWidth="28800" windowHeight="15345" xr2:uid="{FC03BFC2-D730-4821-A1CE-48392801FA6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4" i="1" l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M63" i="1"/>
  <c r="L63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M52" i="1"/>
  <c r="L52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M40" i="1"/>
  <c r="L40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M21" i="1"/>
  <c r="L21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</calcChain>
</file>

<file path=xl/sharedStrings.xml><?xml version="1.0" encoding="utf-8"?>
<sst xmlns="http://schemas.openxmlformats.org/spreadsheetml/2006/main" count="36" uniqueCount="19">
  <si>
    <t>Ori VdW with old kA</t>
  </si>
  <si>
    <t>MicTherm with old kA</t>
  </si>
  <si>
    <t>Tr</t>
  </si>
  <si>
    <t>k</t>
  </si>
  <si>
    <t>A</t>
  </si>
  <si>
    <t>Spurious Currents (Max)</t>
  </si>
  <si>
    <t>rho_g (Maxwell)</t>
  </si>
  <si>
    <t>rho_g (Actual)</t>
  </si>
  <si>
    <t>rho_l (Maxwell)</t>
  </si>
  <si>
    <t>rho_l (Actual)</t>
  </si>
  <si>
    <t>Error^2</t>
  </si>
  <si>
    <t>rho_g</t>
  </si>
  <si>
    <t>rho_g_pred</t>
  </si>
  <si>
    <t>rho_l</t>
  </si>
  <si>
    <t>rho_l_pred</t>
  </si>
  <si>
    <t>nan</t>
  </si>
  <si>
    <t>MicTherm with Opt kA</t>
  </si>
  <si>
    <t>VdW with Opt kA</t>
  </si>
  <si>
    <t xml:space="preserve">MicTherm with weight factor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</si>
</sst>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Tabelle1!$B$2:$B$15</c:f>
              <c:numCache>
                <c:formatCode>General</c:formatCode>
                <c:ptCount val="14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0.94</c:v>
                </c:pt>
                <c:pt idx="9">
                  <c:v>0.95</c:v>
                </c:pt>
              </c:numCache>
            </c:numRef>
          </c:xVal>
          <c:yVal>
            <c:numRef>
              <c:f>Tabelle1!$F$2:$F$15</c:f>
              <c:numCache>
                <c:formatCode>General</c:formatCode>
                <c:ptCount val="14"/>
                <c:pt idx="0">
                  <c:v>0.13153015900000001</c:v>
                </c:pt>
                <c:pt idx="1">
                  <c:v>0.20922338800000001</c:v>
                </c:pt>
                <c:pt idx="2">
                  <c:v>0.31316375000000002</c:v>
                </c:pt>
                <c:pt idx="3">
                  <c:v>0.48078052599999999</c:v>
                </c:pt>
                <c:pt idx="4">
                  <c:v>0.62023152199999998</c:v>
                </c:pt>
                <c:pt idx="5">
                  <c:v>0.83883422600000002</c:v>
                </c:pt>
                <c:pt idx="6">
                  <c:v>1.1190548760000001</c:v>
                </c:pt>
                <c:pt idx="7">
                  <c:v>1.4900957319999999</c:v>
                </c:pt>
                <c:pt idx="8">
                  <c:v>1.898222506</c:v>
                </c:pt>
                <c:pt idx="9">
                  <c:v>2.0265522439999999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E-45F3-BE90-23BCB3BF86AD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Tabelle1!$B$2:$B$15</c:f>
              <c:numCache>
                <c:formatCode>General</c:formatCode>
                <c:ptCount val="14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0.94</c:v>
                </c:pt>
                <c:pt idx="9">
                  <c:v>0.95</c:v>
                </c:pt>
              </c:numCache>
            </c:numRef>
          </c:xVal>
          <c:yVal>
            <c:numRef>
              <c:f>Tabelle1!$G$2:$G$15</c:f>
              <c:numCache>
                <c:formatCode>General</c:formatCode>
                <c:ptCount val="14"/>
                <c:pt idx="0">
                  <c:v>0.14182312790000001</c:v>
                </c:pt>
                <c:pt idx="1">
                  <c:v>0.22724163529999999</c:v>
                </c:pt>
                <c:pt idx="2">
                  <c:v>0.3381545842</c:v>
                </c:pt>
                <c:pt idx="3">
                  <c:v>0.48433622720000002</c:v>
                </c:pt>
                <c:pt idx="4">
                  <c:v>0.67298632859999996</c:v>
                </c:pt>
                <c:pt idx="5">
                  <c:v>0.90089732410000001</c:v>
                </c:pt>
                <c:pt idx="6">
                  <c:v>1.1958402400000001</c:v>
                </c:pt>
                <c:pt idx="7">
                  <c:v>1.5915364030000001</c:v>
                </c:pt>
                <c:pt idx="8">
                  <c:v>2.0037982460000001</c:v>
                </c:pt>
                <c:pt idx="9">
                  <c:v>2.1155714990000001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5E-45F3-BE90-23BCB3BF86AD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Tabelle1!$B$2:$B$15</c:f>
              <c:numCache>
                <c:formatCode>General</c:formatCode>
                <c:ptCount val="14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0.94</c:v>
                </c:pt>
                <c:pt idx="9">
                  <c:v>0.95</c:v>
                </c:pt>
              </c:numCache>
            </c:numRef>
          </c:xVal>
          <c:yVal>
            <c:numRef>
              <c:f>Tabelle1!$H$2:$H$15</c:f>
              <c:numCache>
                <c:formatCode>General</c:formatCode>
                <c:ptCount val="14"/>
                <c:pt idx="0">
                  <c:v>8.3564224849999995</c:v>
                </c:pt>
                <c:pt idx="1">
                  <c:v>8.0904478520000005</c:v>
                </c:pt>
                <c:pt idx="2">
                  <c:v>7.8035913700000004</c:v>
                </c:pt>
                <c:pt idx="3">
                  <c:v>7.4915489199999996</c:v>
                </c:pt>
                <c:pt idx="4">
                  <c:v>7.1482383150000004</c:v>
                </c:pt>
                <c:pt idx="5">
                  <c:v>6.7644704000000004</c:v>
                </c:pt>
                <c:pt idx="6">
                  <c:v>6.3249911460000003</c:v>
                </c:pt>
                <c:pt idx="7">
                  <c:v>5.800445742</c:v>
                </c:pt>
                <c:pt idx="8">
                  <c:v>5.2735293949999997</c:v>
                </c:pt>
                <c:pt idx="9">
                  <c:v>5.1160457030000002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5E-45F3-BE90-23BCB3BF86AD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Tabelle1!$B$2:$B$15</c:f>
              <c:numCache>
                <c:formatCode>General</c:formatCode>
                <c:ptCount val="14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0.94</c:v>
                </c:pt>
                <c:pt idx="9">
                  <c:v>0.95</c:v>
                </c:pt>
              </c:numCache>
            </c:numRef>
          </c:xVal>
          <c:yVal>
            <c:numRef>
              <c:f>Tabelle1!$I$2:$I$15</c:f>
              <c:numCache>
                <c:formatCode>General</c:formatCode>
                <c:ptCount val="14"/>
                <c:pt idx="0">
                  <c:v>8.4246902469999991</c:v>
                </c:pt>
                <c:pt idx="1">
                  <c:v>8.1640462879999998</c:v>
                </c:pt>
                <c:pt idx="2">
                  <c:v>7.8819952009999996</c:v>
                </c:pt>
                <c:pt idx="3">
                  <c:v>7.5750894549999996</c:v>
                </c:pt>
                <c:pt idx="4">
                  <c:v>7.2166829110000004</c:v>
                </c:pt>
                <c:pt idx="5">
                  <c:v>6.837594986</c:v>
                </c:pt>
                <c:pt idx="6">
                  <c:v>6.4041967389999996</c:v>
                </c:pt>
                <c:pt idx="7">
                  <c:v>5.8784389499999996</c:v>
                </c:pt>
                <c:pt idx="8">
                  <c:v>5.3193588260000002</c:v>
                </c:pt>
                <c:pt idx="9">
                  <c:v>5.1675415039999999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5E-45F3-BE90-23BCB3BF8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520399"/>
        <c:axId val="1718516559"/>
      </c:scatterChart>
      <c:valAx>
        <c:axId val="171852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8516559"/>
        <c:crosses val="autoZero"/>
        <c:crossBetween val="midCat"/>
      </c:valAx>
      <c:valAx>
        <c:axId val="171851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8520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Tabelle1!$B$21:$B$34</c:f>
              <c:numCache>
                <c:formatCode>General</c:formatCode>
                <c:ptCount val="14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0.94</c:v>
                </c:pt>
              </c:numCache>
            </c:numRef>
          </c:xVal>
          <c:yVal>
            <c:numRef>
              <c:f>Tabelle1!$F$21:$F$34</c:f>
              <c:numCache>
                <c:formatCode>General</c:formatCode>
                <c:ptCount val="14"/>
                <c:pt idx="0">
                  <c:v>0.13152983488490699</c:v>
                </c:pt>
                <c:pt idx="1">
                  <c:v>0.209223544071861</c:v>
                </c:pt>
                <c:pt idx="2">
                  <c:v>0.31315440936814998</c:v>
                </c:pt>
                <c:pt idx="3">
                  <c:v>0.44807879992910399</c:v>
                </c:pt>
                <c:pt idx="4">
                  <c:v>0.62023155189635304</c:v>
                </c:pt>
                <c:pt idx="5">
                  <c:v>0.83883421675078695</c:v>
                </c:pt>
                <c:pt idx="6">
                  <c:v>1.1190548042245401</c:v>
                </c:pt>
                <c:pt idx="7">
                  <c:v>1.4901016746776401</c:v>
                </c:pt>
                <c:pt idx="8">
                  <c:v>1.89823394778462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1-4EE6-9E78-4148270FF11F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Tabelle1!$B$21:$B$34</c:f>
              <c:numCache>
                <c:formatCode>General</c:formatCode>
                <c:ptCount val="14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0.94</c:v>
                </c:pt>
              </c:numCache>
            </c:numRef>
          </c:xVal>
          <c:yVal>
            <c:numRef>
              <c:f>Tabelle1!$G$21:$G$34</c:f>
              <c:numCache>
                <c:formatCode>General</c:formatCode>
                <c:ptCount val="14"/>
                <c:pt idx="0">
                  <c:v>0.21331532299518499</c:v>
                </c:pt>
                <c:pt idx="1">
                  <c:v>0.31211248040199202</c:v>
                </c:pt>
                <c:pt idx="2">
                  <c:v>0.43218895792961098</c:v>
                </c:pt>
                <c:pt idx="3">
                  <c:v>0.58744907379150302</c:v>
                </c:pt>
                <c:pt idx="4">
                  <c:v>0.74875378608703602</c:v>
                </c:pt>
                <c:pt idx="5">
                  <c:v>0.97904402017593295</c:v>
                </c:pt>
                <c:pt idx="6">
                  <c:v>1.2799813747405999</c:v>
                </c:pt>
                <c:pt idx="7">
                  <c:v>1.7961562871932899</c:v>
                </c:pt>
                <c:pt idx="8">
                  <c:v>2.1377301216125399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61-4EE6-9E78-4148270FF11F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Tabelle1!$B$21:$B$34</c:f>
              <c:numCache>
                <c:formatCode>General</c:formatCode>
                <c:ptCount val="14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0.94</c:v>
                </c:pt>
              </c:numCache>
            </c:numRef>
          </c:xVal>
          <c:yVal>
            <c:numRef>
              <c:f>Tabelle1!$H$21:$H$34</c:f>
              <c:numCache>
                <c:formatCode>General</c:formatCode>
                <c:ptCount val="14"/>
                <c:pt idx="0">
                  <c:v>8.3564224234387705</c:v>
                </c:pt>
                <c:pt idx="1">
                  <c:v>8.0904478240175592</c:v>
                </c:pt>
                <c:pt idx="2">
                  <c:v>7.8035903915609799</c:v>
                </c:pt>
                <c:pt idx="3">
                  <c:v>7.4915489789568896</c:v>
                </c:pt>
                <c:pt idx="4">
                  <c:v>7.1482382843265304</c:v>
                </c:pt>
                <c:pt idx="5">
                  <c:v>6.7644703652110403</c:v>
                </c:pt>
                <c:pt idx="6">
                  <c:v>6.3249911146619899</c:v>
                </c:pt>
                <c:pt idx="7">
                  <c:v>5.8004481515459698</c:v>
                </c:pt>
                <c:pt idx="8">
                  <c:v>5.2735367213974103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61-4EE6-9E78-4148270FF11F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Tabelle1!$B$21:$B$34</c:f>
              <c:numCache>
                <c:formatCode>General</c:formatCode>
                <c:ptCount val="14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0.94</c:v>
                </c:pt>
              </c:numCache>
            </c:numRef>
          </c:xVal>
          <c:yVal>
            <c:numRef>
              <c:f>Tabelle1!$I$21:$I$34</c:f>
              <c:numCache>
                <c:formatCode>General</c:formatCode>
                <c:ptCount val="14"/>
                <c:pt idx="0">
                  <c:v>8.35357666015625</c:v>
                </c:pt>
                <c:pt idx="1">
                  <c:v>8.0895719528198207</c:v>
                </c:pt>
                <c:pt idx="2">
                  <c:v>7.8060340881347603</c:v>
                </c:pt>
                <c:pt idx="3">
                  <c:v>7.4990539550781197</c:v>
                </c:pt>
                <c:pt idx="4">
                  <c:v>7.1591215133666903</c:v>
                </c:pt>
                <c:pt idx="5">
                  <c:v>6.7821626663207999</c:v>
                </c:pt>
                <c:pt idx="6">
                  <c:v>6.3497400283813397</c:v>
                </c:pt>
                <c:pt idx="7">
                  <c:v>1.7961550951003999</c:v>
                </c:pt>
                <c:pt idx="8">
                  <c:v>2.1378903388977002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61-4EE6-9E78-4148270FF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625359"/>
        <c:axId val="1768626799"/>
      </c:scatterChart>
      <c:valAx>
        <c:axId val="176862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8626799"/>
        <c:crosses val="autoZero"/>
        <c:crossBetween val="midCat"/>
      </c:valAx>
      <c:valAx>
        <c:axId val="176862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8625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Tabelle1!$B$41:$B$48</c:f>
              <c:numCache>
                <c:formatCode>General</c:formatCode>
                <c:ptCount val="8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</c:numCache>
            </c:numRef>
          </c:xVal>
          <c:yVal>
            <c:numRef>
              <c:f>Tabelle1!$F$41:$F$48</c:f>
              <c:numCache>
                <c:formatCode>General</c:formatCode>
                <c:ptCount val="8"/>
                <c:pt idx="0">
                  <c:v>0.209223544071861</c:v>
                </c:pt>
                <c:pt idx="1">
                  <c:v>0.31315440936814998</c:v>
                </c:pt>
                <c:pt idx="2">
                  <c:v>0.44807879992910399</c:v>
                </c:pt>
                <c:pt idx="3">
                  <c:v>0.62023155189635304</c:v>
                </c:pt>
                <c:pt idx="4">
                  <c:v>0.83883421675078695</c:v>
                </c:pt>
                <c:pt idx="5">
                  <c:v>1.1190548042245401</c:v>
                </c:pt>
                <c:pt idx="6">
                  <c:v>1.4901016746776401</c:v>
                </c:pt>
                <c:pt idx="7">
                  <c:v>2.0265530139999899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85-4081-8F44-45A8DB9CD7B8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Tabelle1!$B$41:$B$48</c:f>
              <c:numCache>
                <c:formatCode>General</c:formatCode>
                <c:ptCount val="8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</c:numCache>
            </c:numRef>
          </c:xVal>
          <c:yVal>
            <c:numRef>
              <c:f>Tabelle1!$G$41:$G$48</c:f>
              <c:numCache>
                <c:formatCode>General</c:formatCode>
                <c:ptCount val="8"/>
                <c:pt idx="0">
                  <c:v>2.60366536676883E-2</c:v>
                </c:pt>
                <c:pt idx="1">
                  <c:v>0.112200029194355</c:v>
                </c:pt>
                <c:pt idx="2">
                  <c:v>0.25472804903983998</c:v>
                </c:pt>
                <c:pt idx="3">
                  <c:v>0.44886058568954401</c:v>
                </c:pt>
                <c:pt idx="4">
                  <c:v>0.696266889572143</c:v>
                </c:pt>
                <c:pt idx="5">
                  <c:v>1.0127811431884699</c:v>
                </c:pt>
                <c:pt idx="6">
                  <c:v>1.4272592067718499</c:v>
                </c:pt>
                <c:pt idx="7">
                  <c:v>2.0113339424133301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85-4081-8F44-45A8DB9CD7B8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Tabelle1!$B$41:$B$48</c:f>
              <c:numCache>
                <c:formatCode>General</c:formatCode>
                <c:ptCount val="8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</c:numCache>
            </c:numRef>
          </c:xVal>
          <c:yVal>
            <c:numRef>
              <c:f>Tabelle1!$H$41:$H$48</c:f>
              <c:numCache>
                <c:formatCode>General</c:formatCode>
                <c:ptCount val="8"/>
                <c:pt idx="0">
                  <c:v>8.0904478240175592</c:v>
                </c:pt>
                <c:pt idx="1">
                  <c:v>7.8035903915609799</c:v>
                </c:pt>
                <c:pt idx="2">
                  <c:v>7.4915489789568896</c:v>
                </c:pt>
                <c:pt idx="3">
                  <c:v>7.1482382843265304</c:v>
                </c:pt>
                <c:pt idx="4">
                  <c:v>6.7644703652110403</c:v>
                </c:pt>
                <c:pt idx="5">
                  <c:v>6.3249911146619899</c:v>
                </c:pt>
                <c:pt idx="6">
                  <c:v>5.8004481515459698</c:v>
                </c:pt>
                <c:pt idx="7">
                  <c:v>5.1160460815881903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85-4081-8F44-45A8DB9CD7B8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Tabelle1!$B$41:$B$48</c:f>
              <c:numCache>
                <c:formatCode>General</c:formatCode>
                <c:ptCount val="8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</c:numCache>
            </c:numRef>
          </c:xVal>
          <c:yVal>
            <c:numRef>
              <c:f>Tabelle1!$I$41:$I$48</c:f>
              <c:numCache>
                <c:formatCode>General</c:formatCode>
                <c:ptCount val="8"/>
                <c:pt idx="0">
                  <c:v>8.07612800598144</c:v>
                </c:pt>
                <c:pt idx="1">
                  <c:v>7.7824854850768999</c:v>
                </c:pt>
                <c:pt idx="2">
                  <c:v>7.4659457206726003</c:v>
                </c:pt>
                <c:pt idx="3">
                  <c:v>7.1183991432189897</c:v>
                </c:pt>
                <c:pt idx="4">
                  <c:v>6.7337713241577104</c:v>
                </c:pt>
                <c:pt idx="5">
                  <c:v>6.2960476875305096</c:v>
                </c:pt>
                <c:pt idx="6">
                  <c:v>5.7792930603027299</c:v>
                </c:pt>
                <c:pt idx="7">
                  <c:v>5.1104307174682599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85-4081-8F44-45A8DB9CD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628239"/>
        <c:axId val="1768629199"/>
      </c:scatterChart>
      <c:valAx>
        <c:axId val="176862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8629199"/>
        <c:crosses val="autoZero"/>
        <c:crossBetween val="midCat"/>
      </c:valAx>
      <c:valAx>
        <c:axId val="176862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862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Tabelle1!$B$52:$B$60</c:f>
              <c:numCache>
                <c:formatCode>General</c:formatCode>
                <c:ptCount val="9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0.95</c:v>
                </c:pt>
              </c:numCache>
            </c:numRef>
          </c:xVal>
          <c:yVal>
            <c:numRef>
              <c:f>Tabelle1!$F$52:$F$60</c:f>
              <c:numCache>
                <c:formatCode>General</c:formatCode>
                <c:ptCount val="9"/>
                <c:pt idx="0">
                  <c:v>0.13153015900000001</c:v>
                </c:pt>
                <c:pt idx="1">
                  <c:v>0.20922338800000001</c:v>
                </c:pt>
                <c:pt idx="2">
                  <c:v>0.31316375000000002</c:v>
                </c:pt>
                <c:pt idx="3">
                  <c:v>0.48078052599999999</c:v>
                </c:pt>
                <c:pt idx="4">
                  <c:v>0.62023152199999998</c:v>
                </c:pt>
                <c:pt idx="5">
                  <c:v>0.83883422600000002</c:v>
                </c:pt>
                <c:pt idx="6">
                  <c:v>1.1190548760000001</c:v>
                </c:pt>
                <c:pt idx="7">
                  <c:v>1.4900957319999999</c:v>
                </c:pt>
                <c:pt idx="8">
                  <c:v>2.0265522439999999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F5-4C43-9D93-0863B62F07F6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Tabelle1!$B$52:$B$60</c:f>
              <c:numCache>
                <c:formatCode>General</c:formatCode>
                <c:ptCount val="9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0.95</c:v>
                </c:pt>
              </c:numCache>
            </c:numRef>
          </c:xVal>
          <c:yVal>
            <c:numRef>
              <c:f>Tabelle1!$G$52:$G$60</c:f>
              <c:numCache>
                <c:formatCode>General</c:formatCode>
                <c:ptCount val="9"/>
                <c:pt idx="0">
                  <c:v>1.1168748605996301E-3</c:v>
                </c:pt>
                <c:pt idx="1">
                  <c:v>3.3913038671016603E-2</c:v>
                </c:pt>
                <c:pt idx="2">
                  <c:v>0.120795533061027</c:v>
                </c:pt>
                <c:pt idx="3">
                  <c:v>0.25811803340911799</c:v>
                </c:pt>
                <c:pt idx="4">
                  <c:v>0.44871869683265603</c:v>
                </c:pt>
                <c:pt idx="5">
                  <c:v>0.69577819108963002</c:v>
                </c:pt>
                <c:pt idx="6">
                  <c:v>1.0128093957901001</c:v>
                </c:pt>
                <c:pt idx="7">
                  <c:v>1.42701351642608</c:v>
                </c:pt>
                <c:pt idx="8">
                  <c:v>2.01095342636108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F5-4C43-9D93-0863B62F07F6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Tabelle1!$B$52:$B$60</c:f>
              <c:numCache>
                <c:formatCode>General</c:formatCode>
                <c:ptCount val="9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0.95</c:v>
                </c:pt>
              </c:numCache>
            </c:numRef>
          </c:xVal>
          <c:yVal>
            <c:numRef>
              <c:f>Tabelle1!$H$52:$H$60</c:f>
              <c:numCache>
                <c:formatCode>General</c:formatCode>
                <c:ptCount val="9"/>
                <c:pt idx="0">
                  <c:v>8.3564224849999995</c:v>
                </c:pt>
                <c:pt idx="1">
                  <c:v>8.0904478520000005</c:v>
                </c:pt>
                <c:pt idx="2">
                  <c:v>7.8035913700000004</c:v>
                </c:pt>
                <c:pt idx="3">
                  <c:v>7.4915489199999996</c:v>
                </c:pt>
                <c:pt idx="4">
                  <c:v>7.1482383150000004</c:v>
                </c:pt>
                <c:pt idx="5">
                  <c:v>6.7644704000000004</c:v>
                </c:pt>
                <c:pt idx="6">
                  <c:v>6.3249911460000003</c:v>
                </c:pt>
                <c:pt idx="7">
                  <c:v>5.800445742</c:v>
                </c:pt>
                <c:pt idx="8">
                  <c:v>5.1160457030000002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F5-4C43-9D93-0863B62F07F6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Tabelle1!$B$52:$B$60</c:f>
              <c:numCache>
                <c:formatCode>General</c:formatCode>
                <c:ptCount val="9"/>
                <c:pt idx="0">
                  <c:v>0.55000000000000004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0.95</c:v>
                </c:pt>
              </c:numCache>
            </c:numRef>
          </c:xVal>
          <c:yVal>
            <c:numRef>
              <c:f>Tabelle1!$I$52:$I$60</c:f>
              <c:numCache>
                <c:formatCode>General</c:formatCode>
                <c:ptCount val="9"/>
                <c:pt idx="0">
                  <c:v>8.3501682281494105</c:v>
                </c:pt>
                <c:pt idx="1">
                  <c:v>8.0773468017578107</c:v>
                </c:pt>
                <c:pt idx="2">
                  <c:v>7.7840871810912997</c:v>
                </c:pt>
                <c:pt idx="3">
                  <c:v>7.4665040969848597</c:v>
                </c:pt>
                <c:pt idx="4">
                  <c:v>7.11960697174072</c:v>
                </c:pt>
                <c:pt idx="5">
                  <c:v>6.7344484329223597</c:v>
                </c:pt>
                <c:pt idx="6">
                  <c:v>6.2970871925354004</c:v>
                </c:pt>
                <c:pt idx="7">
                  <c:v>5.7798376083373997</c:v>
                </c:pt>
                <c:pt idx="8">
                  <c:v>5.1108231544494602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F5-4C43-9D93-0863B62F0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72320"/>
        <c:axId val="90081552"/>
      </c:scatterChart>
      <c:valAx>
        <c:axId val="3867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0081552"/>
        <c:crosses val="autoZero"/>
        <c:crossBetween val="midCat"/>
      </c:valAx>
      <c:valAx>
        <c:axId val="900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8672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Tabelle1!$F$63</c:f>
              <c:strCache>
                <c:ptCount val="1"/>
                <c:pt idx="0">
                  <c:v>0.131529835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Tabelle1!$B$64:$B$71</c:f>
              <c:numCache>
                <c:formatCode>General</c:formatCode>
                <c:ptCount val="8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</c:numCache>
            </c:numRef>
          </c:xVal>
          <c:yVal>
            <c:numRef>
              <c:f>Tabelle1!$F$64:$F$71</c:f>
              <c:numCache>
                <c:formatCode>General</c:formatCode>
                <c:ptCount val="8"/>
                <c:pt idx="0">
                  <c:v>0.209223544071861</c:v>
                </c:pt>
                <c:pt idx="1">
                  <c:v>0.31315440936814998</c:v>
                </c:pt>
                <c:pt idx="2">
                  <c:v>0.44807879992910399</c:v>
                </c:pt>
                <c:pt idx="3">
                  <c:v>0.62023155189635304</c:v>
                </c:pt>
                <c:pt idx="4">
                  <c:v>0.83883421675078695</c:v>
                </c:pt>
                <c:pt idx="5">
                  <c:v>1.1190548042245401</c:v>
                </c:pt>
                <c:pt idx="6">
                  <c:v>1.4901016746776401</c:v>
                </c:pt>
                <c:pt idx="7">
                  <c:v>2.0265530139999899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2F-459B-9209-788EAACA0861}"/>
            </c:ext>
          </c:extLst>
        </c:ser>
        <c:ser>
          <c:idx val="1"/>
          <c:order val="1"/>
          <c:tx>
            <c:strRef>
              <c:f>Tabelle1!$G$63</c:f>
              <c:strCache>
                <c:ptCount val="1"/>
                <c:pt idx="0">
                  <c:v>nan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Tabelle1!$B$64:$B$71</c:f>
              <c:numCache>
                <c:formatCode>General</c:formatCode>
                <c:ptCount val="8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</c:numCache>
            </c:numRef>
          </c:xVal>
          <c:yVal>
            <c:numRef>
              <c:f>Tabelle1!$G$64:$G$71</c:f>
              <c:numCache>
                <c:formatCode>General</c:formatCode>
                <c:ptCount val="8"/>
                <c:pt idx="0">
                  <c:v>1.16998134180903E-2</c:v>
                </c:pt>
                <c:pt idx="1">
                  <c:v>9.7599521279334994E-2</c:v>
                </c:pt>
                <c:pt idx="2">
                  <c:v>0.25219264626502902</c:v>
                </c:pt>
                <c:pt idx="3">
                  <c:v>0.45986223220825101</c:v>
                </c:pt>
                <c:pt idx="4">
                  <c:v>0.71809542179107599</c:v>
                </c:pt>
                <c:pt idx="5">
                  <c:v>1.0413969755172701</c:v>
                </c:pt>
                <c:pt idx="6">
                  <c:v>1.4551522731780999</c:v>
                </c:pt>
                <c:pt idx="7">
                  <c:v>2.0314264297485298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2F-459B-9209-788EAACA0861}"/>
            </c:ext>
          </c:extLst>
        </c:ser>
        <c:ser>
          <c:idx val="2"/>
          <c:order val="2"/>
          <c:tx>
            <c:strRef>
              <c:f>Tabelle1!$H$63</c:f>
              <c:strCache>
                <c:ptCount val="1"/>
                <c:pt idx="0">
                  <c:v>8.356422423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Tabelle1!$B$64:$B$71</c:f>
              <c:numCache>
                <c:formatCode>General</c:formatCode>
                <c:ptCount val="8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</c:numCache>
            </c:numRef>
          </c:xVal>
          <c:yVal>
            <c:numRef>
              <c:f>Tabelle1!$H$64:$H$71</c:f>
              <c:numCache>
                <c:formatCode>General</c:formatCode>
                <c:ptCount val="8"/>
                <c:pt idx="0">
                  <c:v>8.0904478240175592</c:v>
                </c:pt>
                <c:pt idx="1">
                  <c:v>7.8035903915609799</c:v>
                </c:pt>
                <c:pt idx="2">
                  <c:v>7.4915489789568896</c:v>
                </c:pt>
                <c:pt idx="3">
                  <c:v>7.1482382843265304</c:v>
                </c:pt>
                <c:pt idx="4">
                  <c:v>6.7644703652110403</c:v>
                </c:pt>
                <c:pt idx="5">
                  <c:v>6.3249911146619899</c:v>
                </c:pt>
                <c:pt idx="6">
                  <c:v>5.8004481515459698</c:v>
                </c:pt>
                <c:pt idx="7">
                  <c:v>5.1160460815881903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2F-459B-9209-788EAACA0861}"/>
            </c:ext>
          </c:extLst>
        </c:ser>
        <c:ser>
          <c:idx val="3"/>
          <c:order val="3"/>
          <c:tx>
            <c:strRef>
              <c:f>Tabelle1!$I$63</c:f>
              <c:strCache>
                <c:ptCount val="1"/>
                <c:pt idx="0">
                  <c:v>nan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Tabelle1!$B$64:$B$71</c:f>
              <c:numCache>
                <c:formatCode>General</c:formatCode>
                <c:ptCount val="8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</c:numCache>
            </c:numRef>
          </c:xVal>
          <c:yVal>
            <c:numRef>
              <c:f>Tabelle1!$I$64:$I$71</c:f>
              <c:numCache>
                <c:formatCode>General</c:formatCode>
                <c:ptCount val="8"/>
                <c:pt idx="0">
                  <c:v>8.0754127502441406</c:v>
                </c:pt>
                <c:pt idx="1">
                  <c:v>7.78116703033447</c:v>
                </c:pt>
                <c:pt idx="2">
                  <c:v>7.46563720703125</c:v>
                </c:pt>
                <c:pt idx="3">
                  <c:v>7.1203794479370099</c:v>
                </c:pt>
                <c:pt idx="4">
                  <c:v>6.7384381294250399</c:v>
                </c:pt>
                <c:pt idx="5">
                  <c:v>6.3037090301513601</c:v>
                </c:pt>
                <c:pt idx="6">
                  <c:v>5.7884888648986799</c:v>
                </c:pt>
                <c:pt idx="7">
                  <c:v>5.1192240715026802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2F-459B-9209-788EAACA0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338015"/>
        <c:axId val="1378338495"/>
      </c:scatterChart>
      <c:valAx>
        <c:axId val="137833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78338495"/>
        <c:crosses val="autoZero"/>
        <c:crossBetween val="midCat"/>
      </c:valAx>
      <c:valAx>
        <c:axId val="137833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78338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3</xdr:row>
      <xdr:rowOff>100012</xdr:rowOff>
    </xdr:from>
    <xdr:to>
      <xdr:col>22</xdr:col>
      <xdr:colOff>381000</xdr:colOff>
      <xdr:row>17</xdr:row>
      <xdr:rowOff>176212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C2E2718-132C-DF95-E064-A2CDB9458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390525</xdr:colOff>
      <xdr:row>20</xdr:row>
      <xdr:rowOff>100012</xdr:rowOff>
    </xdr:from>
    <xdr:to>
      <xdr:col>22</xdr:col>
      <xdr:colOff>390525</xdr:colOff>
      <xdr:row>34</xdr:row>
      <xdr:rowOff>176212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790F6C4-25DA-A56B-B8AA-72766A929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361950</xdr:colOff>
      <xdr:row>36</xdr:row>
      <xdr:rowOff>52387</xdr:rowOff>
    </xdr:from>
    <xdr:to>
      <xdr:col>22</xdr:col>
      <xdr:colOff>361950</xdr:colOff>
      <xdr:row>50</xdr:row>
      <xdr:rowOff>128587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CA6AF931-D18C-228A-8198-B990028F4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361950</xdr:colOff>
      <xdr:row>52</xdr:row>
      <xdr:rowOff>157162</xdr:rowOff>
    </xdr:from>
    <xdr:to>
      <xdr:col>22</xdr:col>
      <xdr:colOff>361950</xdr:colOff>
      <xdr:row>67</xdr:row>
      <xdr:rowOff>42862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ED2AD3C-4A45-129E-E695-F1C59736E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397808</xdr:colOff>
      <xdr:row>67</xdr:row>
      <xdr:rowOff>146797</xdr:rowOff>
    </xdr:from>
    <xdr:to>
      <xdr:col>22</xdr:col>
      <xdr:colOff>397808</xdr:colOff>
      <xdr:row>82</xdr:row>
      <xdr:rowOff>32497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56B032C2-FD68-0EC3-9345-62157E5CE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C191-B296-48B0-B373-DBA0ED423507}">
  <dimension ref="A1:M71"/>
  <sheetViews>
    <sheetView tabSelected="1" topLeftCell="A37" zoomScale="85" zoomScaleNormal="85" workbookViewId="0">
      <selection activeCell="N65" sqref="N65"/>
    </sheetView>
  </sheetViews>
  <sheetFormatPr baseColWidth="10" defaultRowHeight="15" x14ac:dyDescent="0.25"/>
  <sheetData>
    <row r="1" spans="1:13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3" x14ac:dyDescent="0.25">
      <c r="A2" t="s">
        <v>0</v>
      </c>
      <c r="B2">
        <v>0.55000000000000004</v>
      </c>
      <c r="C2">
        <v>0.01</v>
      </c>
      <c r="D2">
        <v>-0.23</v>
      </c>
      <c r="E2" s="1">
        <v>1.6899999999999999E-4</v>
      </c>
      <c r="F2">
        <v>0.13153015900000001</v>
      </c>
      <c r="G2">
        <v>0.14182312790000001</v>
      </c>
      <c r="H2">
        <v>8.3564224849999995</v>
      </c>
      <c r="I2">
        <v>8.4246902469999991</v>
      </c>
      <c r="J2">
        <v>4.7664324790000004E-3</v>
      </c>
      <c r="L2">
        <f>(G2-F2)/F2*100</f>
        <v>7.825558015177343</v>
      </c>
      <c r="M2">
        <f>(I2-H2)/H2*100</f>
        <v>0.81694962314964414</v>
      </c>
    </row>
    <row r="3" spans="1:13" x14ac:dyDescent="0.25">
      <c r="B3">
        <v>0.6</v>
      </c>
      <c r="C3">
        <v>0.01</v>
      </c>
      <c r="D3">
        <v>-0.22</v>
      </c>
      <c r="E3" s="1">
        <v>1.0399999999999999E-4</v>
      </c>
      <c r="F3">
        <v>0.20922338800000001</v>
      </c>
      <c r="G3">
        <v>0.22724163529999999</v>
      </c>
      <c r="H3">
        <v>8.0904478520000005</v>
      </c>
      <c r="I3">
        <v>8.1640462879999998</v>
      </c>
      <c r="J3">
        <v>5.7413869499999999E-3</v>
      </c>
      <c r="L3">
        <f t="shared" ref="L3:L11" si="0">(G3-F3)/F3*100</f>
        <v>8.6119661249343622</v>
      </c>
      <c r="M3">
        <f t="shared" ref="M3:M11" si="1">(I3-H3)/H3*100</f>
        <v>0.9096954500708555</v>
      </c>
    </row>
    <row r="4" spans="1:13" x14ac:dyDescent="0.25">
      <c r="B4">
        <v>0.65</v>
      </c>
      <c r="C4">
        <v>0.01</v>
      </c>
      <c r="D4">
        <v>-0.2</v>
      </c>
      <c r="E4" s="1">
        <v>6.9099999999999999E-5</v>
      </c>
      <c r="F4">
        <v>0.31316375000000002</v>
      </c>
      <c r="G4">
        <v>0.3381545842</v>
      </c>
      <c r="H4">
        <v>7.8035913700000004</v>
      </c>
      <c r="I4">
        <v>7.8819952009999996</v>
      </c>
      <c r="J4">
        <v>6.7717025250000002E-3</v>
      </c>
      <c r="L4">
        <f t="shared" si="0"/>
        <v>7.9801171751200366</v>
      </c>
      <c r="M4">
        <f t="shared" si="1"/>
        <v>1.004714717654408</v>
      </c>
    </row>
    <row r="5" spans="1:13" x14ac:dyDescent="0.25">
      <c r="B5">
        <v>0.7</v>
      </c>
      <c r="C5">
        <v>0.01</v>
      </c>
      <c r="D5">
        <v>-0.18</v>
      </c>
      <c r="E5" s="1">
        <v>4.6699999999999997E-5</v>
      </c>
      <c r="F5">
        <v>0.48078052599999999</v>
      </c>
      <c r="G5">
        <v>0.48433622720000002</v>
      </c>
      <c r="H5">
        <v>7.4915489199999996</v>
      </c>
      <c r="I5">
        <v>7.5750894549999996</v>
      </c>
      <c r="J5">
        <v>6.9916639409999997E-3</v>
      </c>
      <c r="L5">
        <f t="shared" si="0"/>
        <v>0.73956847411911164</v>
      </c>
      <c r="M5">
        <f t="shared" si="1"/>
        <v>1.1151303407626953</v>
      </c>
    </row>
    <row r="6" spans="1:13" x14ac:dyDescent="0.25">
      <c r="B6">
        <v>0.75</v>
      </c>
      <c r="C6">
        <v>0.02</v>
      </c>
      <c r="D6">
        <v>-0.26</v>
      </c>
      <c r="E6" s="1">
        <v>9.8099999999999999E-5</v>
      </c>
      <c r="F6">
        <v>0.62023152199999998</v>
      </c>
      <c r="G6">
        <v>0.67298632859999996</v>
      </c>
      <c r="H6">
        <v>7.1482383150000004</v>
      </c>
      <c r="I6">
        <v>7.2166829110000004</v>
      </c>
      <c r="J6">
        <v>7.4677323299999999E-3</v>
      </c>
      <c r="L6">
        <f t="shared" si="0"/>
        <v>8.5056635673541248</v>
      </c>
      <c r="M6">
        <f t="shared" si="1"/>
        <v>0.95750299561745877</v>
      </c>
    </row>
    <row r="7" spans="1:13" x14ac:dyDescent="0.25">
      <c r="B7">
        <v>0.8</v>
      </c>
      <c r="C7">
        <v>0.02</v>
      </c>
      <c r="D7">
        <v>-0.24</v>
      </c>
      <c r="E7" s="1">
        <v>5.6100000000000002E-5</v>
      </c>
      <c r="F7">
        <v>0.83883422600000002</v>
      </c>
      <c r="G7">
        <v>0.90089732410000001</v>
      </c>
      <c r="H7">
        <v>6.7644704000000004</v>
      </c>
      <c r="I7">
        <v>6.837594986</v>
      </c>
      <c r="J7">
        <v>9.1990332159999997E-3</v>
      </c>
      <c r="L7">
        <f t="shared" si="0"/>
        <v>7.3987322138665323</v>
      </c>
      <c r="M7">
        <f t="shared" si="1"/>
        <v>1.081009771289702</v>
      </c>
    </row>
    <row r="8" spans="1:13" x14ac:dyDescent="0.25">
      <c r="B8">
        <v>0.85</v>
      </c>
      <c r="C8">
        <v>0.02</v>
      </c>
      <c r="D8">
        <v>-0.22</v>
      </c>
      <c r="E8" s="1">
        <v>2.9300000000000001E-5</v>
      </c>
      <c r="F8">
        <v>1.1190548760000001</v>
      </c>
      <c r="G8">
        <v>1.1958402400000001</v>
      </c>
      <c r="H8">
        <v>6.3249911460000003</v>
      </c>
      <c r="I8">
        <v>6.4041967389999996</v>
      </c>
      <c r="J8">
        <v>1.216951805E-2</v>
      </c>
      <c r="L8">
        <f t="shared" si="0"/>
        <v>6.8616263283231529</v>
      </c>
      <c r="M8">
        <f t="shared" si="1"/>
        <v>1.2522640928926809</v>
      </c>
    </row>
    <row r="9" spans="1:13" x14ac:dyDescent="0.25">
      <c r="B9">
        <v>0.9</v>
      </c>
      <c r="C9">
        <v>0.02</v>
      </c>
      <c r="D9">
        <v>-0.185</v>
      </c>
      <c r="E9" s="1">
        <v>1.26E-5</v>
      </c>
      <c r="F9">
        <v>1.4900957319999999</v>
      </c>
      <c r="G9">
        <v>1.5915364030000001</v>
      </c>
      <c r="H9">
        <v>5.800445742</v>
      </c>
      <c r="I9">
        <v>5.8784389499999996</v>
      </c>
      <c r="J9">
        <v>1.6373150100000001E-2</v>
      </c>
      <c r="L9">
        <f t="shared" si="0"/>
        <v>6.8076613348759123</v>
      </c>
      <c r="M9">
        <f t="shared" si="1"/>
        <v>1.3446071469174281</v>
      </c>
    </row>
    <row r="10" spans="1:13" x14ac:dyDescent="0.25">
      <c r="B10">
        <v>0.94</v>
      </c>
      <c r="C10">
        <v>0.03</v>
      </c>
      <c r="D10">
        <v>-0.18</v>
      </c>
      <c r="E10" s="1">
        <v>7.7700000000000001E-6</v>
      </c>
      <c r="F10">
        <v>1.898222506</v>
      </c>
      <c r="G10">
        <v>2.0037982460000001</v>
      </c>
      <c r="H10">
        <v>5.2735293949999997</v>
      </c>
      <c r="I10">
        <v>5.3193588260000002</v>
      </c>
      <c r="J10">
        <v>1.3246573669999999E-2</v>
      </c>
      <c r="L10">
        <f t="shared" si="0"/>
        <v>5.5618211071826869</v>
      </c>
      <c r="M10">
        <f t="shared" si="1"/>
        <v>0.86904665864672737</v>
      </c>
    </row>
    <row r="11" spans="1:13" x14ac:dyDescent="0.25">
      <c r="B11">
        <v>0.95</v>
      </c>
      <c r="C11">
        <v>0.04</v>
      </c>
      <c r="D11">
        <v>-0.18</v>
      </c>
      <c r="E11" s="1">
        <v>8.9900000000000003E-6</v>
      </c>
      <c r="F11">
        <v>2.0265522439999999</v>
      </c>
      <c r="G11">
        <v>2.1155714990000001</v>
      </c>
      <c r="H11">
        <v>5.1160457030000002</v>
      </c>
      <c r="I11">
        <v>5.1675415039999999</v>
      </c>
      <c r="J11">
        <v>1.057624525E-2</v>
      </c>
      <c r="L11">
        <f t="shared" si="0"/>
        <v>4.3926454530624079</v>
      </c>
      <c r="M11">
        <f t="shared" si="1"/>
        <v>1.0065547493018503</v>
      </c>
    </row>
    <row r="12" spans="1:13" x14ac:dyDescent="0.25">
      <c r="E12" s="1"/>
    </row>
    <row r="13" spans="1:13" x14ac:dyDescent="0.25">
      <c r="E13" s="1"/>
    </row>
    <row r="14" spans="1:13" x14ac:dyDescent="0.25">
      <c r="E14" s="1"/>
    </row>
    <row r="15" spans="1:13" x14ac:dyDescent="0.25">
      <c r="E15" s="1"/>
    </row>
    <row r="20" spans="1:13" x14ac:dyDescent="0.25"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7</v>
      </c>
      <c r="H20" t="s">
        <v>8</v>
      </c>
      <c r="I20" t="s">
        <v>9</v>
      </c>
    </row>
    <row r="21" spans="1:13" x14ac:dyDescent="0.25">
      <c r="B21">
        <v>0.55000000000000004</v>
      </c>
      <c r="C21">
        <v>0.01</v>
      </c>
      <c r="D21">
        <v>-0.23</v>
      </c>
      <c r="E21">
        <v>1.2981375039089401E-4</v>
      </c>
      <c r="F21">
        <v>0.13152983488490699</v>
      </c>
      <c r="G21">
        <v>0.21331532299518499</v>
      </c>
      <c r="H21">
        <v>8.3564224234387705</v>
      </c>
      <c r="I21">
        <v>8.35357666015625</v>
      </c>
      <c r="L21">
        <f>(G21-F21)/F21*100</f>
        <v>62.180180019113564</v>
      </c>
      <c r="M21">
        <f>(I21-H21)/H21*100</f>
        <v>-3.4054804057517256E-2</v>
      </c>
    </row>
    <row r="22" spans="1:13" x14ac:dyDescent="0.25">
      <c r="A22" t="s">
        <v>1</v>
      </c>
      <c r="B22">
        <v>0.6</v>
      </c>
      <c r="C22">
        <v>0.01</v>
      </c>
      <c r="D22">
        <v>-0.22</v>
      </c>
      <c r="E22">
        <v>1.0679672413971201E-4</v>
      </c>
      <c r="F22">
        <v>0.209223544071861</v>
      </c>
      <c r="G22">
        <v>0.31211248040199202</v>
      </c>
      <c r="H22">
        <v>8.0904478240175592</v>
      </c>
      <c r="I22">
        <v>8.0895719528198207</v>
      </c>
      <c r="L22">
        <f t="shared" ref="L22:L29" si="2">(G22-F22)/F22*100</f>
        <v>49.176557440778389</v>
      </c>
      <c r="M22">
        <f t="shared" ref="M22:M29" si="3">(I22-H22)/H22*100</f>
        <v>-1.082599154942248E-2</v>
      </c>
    </row>
    <row r="23" spans="1:13" x14ac:dyDescent="0.25">
      <c r="B23">
        <v>0.65</v>
      </c>
      <c r="C23">
        <v>0.01</v>
      </c>
      <c r="D23">
        <v>-0.2</v>
      </c>
      <c r="E23" s="1">
        <v>7.8394936281256296E-5</v>
      </c>
      <c r="F23">
        <v>0.31315440936814998</v>
      </c>
      <c r="G23">
        <v>0.43218895792961098</v>
      </c>
      <c r="H23">
        <v>7.8035903915609799</v>
      </c>
      <c r="I23">
        <v>7.8060340881347603</v>
      </c>
      <c r="L23">
        <f t="shared" si="2"/>
        <v>38.011455371692321</v>
      </c>
      <c r="M23">
        <f t="shared" si="3"/>
        <v>3.1315028738862161E-2</v>
      </c>
    </row>
    <row r="24" spans="1:13" x14ac:dyDescent="0.25">
      <c r="B24">
        <v>0.7</v>
      </c>
      <c r="C24">
        <v>0.01</v>
      </c>
      <c r="D24">
        <v>-0.18</v>
      </c>
      <c r="E24" s="1">
        <v>8.0704259744379602E-5</v>
      </c>
      <c r="F24">
        <v>0.44807879992910399</v>
      </c>
      <c r="G24">
        <v>0.58744907379150302</v>
      </c>
      <c r="H24">
        <v>7.4915489789568896</v>
      </c>
      <c r="I24">
        <v>7.4990539550781197</v>
      </c>
      <c r="L24">
        <f t="shared" si="2"/>
        <v>31.10396516961983</v>
      </c>
      <c r="M24">
        <f t="shared" si="3"/>
        <v>0.10017923052109581</v>
      </c>
    </row>
    <row r="25" spans="1:13" x14ac:dyDescent="0.25">
      <c r="B25">
        <v>0.75</v>
      </c>
      <c r="C25">
        <v>0.02</v>
      </c>
      <c r="D25">
        <v>-0.26</v>
      </c>
      <c r="E25">
        <v>1.1496163642732399E-4</v>
      </c>
      <c r="F25">
        <v>0.62023155189635304</v>
      </c>
      <c r="G25">
        <v>0.74875378608703602</v>
      </c>
      <c r="H25">
        <v>7.1482382843265304</v>
      </c>
      <c r="I25">
        <v>7.1591215133666903</v>
      </c>
      <c r="L25">
        <f t="shared" si="2"/>
        <v>20.721653678811933</v>
      </c>
      <c r="M25">
        <f t="shared" si="3"/>
        <v>0.15225050714975272</v>
      </c>
    </row>
    <row r="26" spans="1:13" x14ac:dyDescent="0.25">
      <c r="B26">
        <v>0.8</v>
      </c>
      <c r="C26">
        <v>0.02</v>
      </c>
      <c r="D26">
        <v>-0.24</v>
      </c>
      <c r="E26" s="1">
        <v>6.86971397954039E-5</v>
      </c>
      <c r="F26">
        <v>0.83883421675078695</v>
      </c>
      <c r="G26">
        <v>0.97904402017593295</v>
      </c>
      <c r="H26">
        <v>6.7644703652110403</v>
      </c>
      <c r="I26">
        <v>6.7821626663207999</v>
      </c>
      <c r="L26">
        <f t="shared" si="2"/>
        <v>16.714840742697262</v>
      </c>
      <c r="M26">
        <f t="shared" si="3"/>
        <v>0.26154747015744584</v>
      </c>
    </row>
    <row r="27" spans="1:13" x14ac:dyDescent="0.25">
      <c r="B27">
        <v>0.85</v>
      </c>
      <c r="C27">
        <v>0.02</v>
      </c>
      <c r="D27">
        <v>-0.22</v>
      </c>
      <c r="E27" s="1">
        <v>8.5301086073741303E-5</v>
      </c>
      <c r="F27">
        <v>1.1190548042245401</v>
      </c>
      <c r="G27">
        <v>1.2799813747405999</v>
      </c>
      <c r="H27">
        <v>6.3249911146619899</v>
      </c>
      <c r="I27">
        <v>6.3497400283813397</v>
      </c>
      <c r="L27">
        <f t="shared" si="2"/>
        <v>14.380579924106174</v>
      </c>
      <c r="M27">
        <f t="shared" si="3"/>
        <v>0.39128772310808729</v>
      </c>
    </row>
    <row r="28" spans="1:13" x14ac:dyDescent="0.25">
      <c r="B28">
        <v>0.9</v>
      </c>
      <c r="C28">
        <v>0.02</v>
      </c>
      <c r="D28">
        <v>-0.185</v>
      </c>
      <c r="E28" s="1">
        <v>2.98545255645876E-5</v>
      </c>
      <c r="F28">
        <v>1.4901016746776401</v>
      </c>
      <c r="G28">
        <v>1.7961562871932899</v>
      </c>
      <c r="H28">
        <v>5.8004481515459698</v>
      </c>
      <c r="I28">
        <v>1.7961550951003999</v>
      </c>
      <c r="L28">
        <f t="shared" si="2"/>
        <v>20.539176468066174</v>
      </c>
      <c r="M28">
        <f t="shared" si="3"/>
        <v>-69.034201355257736</v>
      </c>
    </row>
    <row r="29" spans="1:13" x14ac:dyDescent="0.25">
      <c r="B29">
        <v>0.94</v>
      </c>
      <c r="C29">
        <v>0.03</v>
      </c>
      <c r="D29">
        <v>-0.18</v>
      </c>
      <c r="E29" s="1">
        <v>2.1494719476322599E-5</v>
      </c>
      <c r="F29">
        <v>1.89823394778462</v>
      </c>
      <c r="G29">
        <v>2.1377301216125399</v>
      </c>
      <c r="H29">
        <v>5.2735367213974103</v>
      </c>
      <c r="I29">
        <v>2.1378903388977002</v>
      </c>
      <c r="L29">
        <f t="shared" si="2"/>
        <v>12.61678910059689</v>
      </c>
      <c r="M29">
        <f t="shared" si="3"/>
        <v>-59.460027457034748</v>
      </c>
    </row>
    <row r="30" spans="1:13" x14ac:dyDescent="0.25">
      <c r="E30" s="1"/>
    </row>
    <row r="31" spans="1:13" x14ac:dyDescent="0.25">
      <c r="E31" s="1"/>
    </row>
    <row r="32" spans="1:13" x14ac:dyDescent="0.25">
      <c r="E32" s="1"/>
    </row>
    <row r="33" spans="1:13" x14ac:dyDescent="0.25">
      <c r="E33" s="1"/>
    </row>
    <row r="34" spans="1:13" x14ac:dyDescent="0.25">
      <c r="E34" s="1"/>
    </row>
    <row r="39" spans="1:13" x14ac:dyDescent="0.25">
      <c r="B39" t="s">
        <v>2</v>
      </c>
      <c r="C39" t="s">
        <v>3</v>
      </c>
      <c r="D39" t="s">
        <v>4</v>
      </c>
      <c r="E39" t="s">
        <v>5</v>
      </c>
      <c r="F39" t="s">
        <v>11</v>
      </c>
      <c r="G39" t="s">
        <v>12</v>
      </c>
      <c r="H39" t="s">
        <v>13</v>
      </c>
      <c r="I39" t="s">
        <v>14</v>
      </c>
    </row>
    <row r="40" spans="1:13" x14ac:dyDescent="0.25">
      <c r="B40">
        <v>0.55000000000000004</v>
      </c>
      <c r="C40">
        <v>9.8100499999999993E-2</v>
      </c>
      <c r="D40">
        <v>0.22799</v>
      </c>
      <c r="E40" t="s">
        <v>15</v>
      </c>
      <c r="F40">
        <v>0.13152983488490699</v>
      </c>
      <c r="G40" t="s">
        <v>15</v>
      </c>
      <c r="H40">
        <v>8.3564224234387705</v>
      </c>
      <c r="I40" t="s">
        <v>15</v>
      </c>
      <c r="L40" t="e">
        <f>(G40-F40)/F40*100</f>
        <v>#VALUE!</v>
      </c>
      <c r="M40" t="e">
        <f>(I40-H40)/H40*100</f>
        <v>#VALUE!</v>
      </c>
    </row>
    <row r="41" spans="1:13" x14ac:dyDescent="0.25">
      <c r="A41" t="s">
        <v>16</v>
      </c>
      <c r="B41">
        <v>0.6</v>
      </c>
      <c r="C41">
        <v>0.11460099999999999</v>
      </c>
      <c r="D41">
        <v>0.23985999999999999</v>
      </c>
      <c r="E41">
        <v>1.6684360802173601E-2</v>
      </c>
      <c r="F41">
        <v>0.209223544071861</v>
      </c>
      <c r="G41">
        <v>2.60366536676883E-2</v>
      </c>
      <c r="H41">
        <v>8.0904478240175592</v>
      </c>
      <c r="I41">
        <v>8.07612800598144</v>
      </c>
      <c r="L41">
        <f>(G41-F41)/F41*100</f>
        <v>-87.555581383926068</v>
      </c>
      <c r="M41">
        <f t="shared" ref="M41:M48" si="4">(I41-H41)/H41*100</f>
        <v>-0.1769966057207488</v>
      </c>
    </row>
    <row r="42" spans="1:13" x14ac:dyDescent="0.25">
      <c r="B42">
        <v>0.65</v>
      </c>
      <c r="C42">
        <v>0.13224150000000001</v>
      </c>
      <c r="D42">
        <v>0.25911000000000001</v>
      </c>
      <c r="E42">
        <v>7.5946007855236504E-3</v>
      </c>
      <c r="F42">
        <v>0.31315440936814998</v>
      </c>
      <c r="G42">
        <v>0.112200029194355</v>
      </c>
      <c r="H42">
        <v>7.8035903915609799</v>
      </c>
      <c r="I42">
        <v>7.7824854850768999</v>
      </c>
      <c r="L42">
        <f t="shared" ref="L42:L48" si="5">(G42-F42)/F42*100</f>
        <v>-64.17102048132088</v>
      </c>
      <c r="M42">
        <f t="shared" si="4"/>
        <v>-0.27045123366423063</v>
      </c>
    </row>
    <row r="43" spans="1:13" x14ac:dyDescent="0.25">
      <c r="B43">
        <v>0.7</v>
      </c>
      <c r="C43">
        <v>0.15102199999999999</v>
      </c>
      <c r="D43">
        <v>0.28573999999999999</v>
      </c>
      <c r="E43">
        <v>3.6169604863971398E-3</v>
      </c>
      <c r="F43">
        <v>0.44807879992910399</v>
      </c>
      <c r="G43">
        <v>0.25472804903983998</v>
      </c>
      <c r="H43">
        <v>7.4915489789568896</v>
      </c>
      <c r="I43">
        <v>7.4659457206726003</v>
      </c>
      <c r="L43">
        <f t="shared" si="5"/>
        <v>-43.151059795700306</v>
      </c>
      <c r="M43">
        <f t="shared" si="4"/>
        <v>-0.34176187536391556</v>
      </c>
    </row>
    <row r="44" spans="1:13" x14ac:dyDescent="0.25">
      <c r="B44">
        <v>0.75</v>
      </c>
      <c r="C44">
        <v>0.1709425</v>
      </c>
      <c r="D44">
        <v>0.31974999999999998</v>
      </c>
      <c r="E44">
        <v>2.1060283761471501E-3</v>
      </c>
      <c r="F44">
        <v>0.62023155189635304</v>
      </c>
      <c r="G44">
        <v>0.44886058568954401</v>
      </c>
      <c r="H44">
        <v>7.1482382843265304</v>
      </c>
      <c r="I44">
        <v>7.1183991432189897</v>
      </c>
      <c r="L44">
        <f t="shared" si="5"/>
        <v>-27.630159362716018</v>
      </c>
      <c r="M44">
        <f t="shared" si="4"/>
        <v>-0.41743349788670342</v>
      </c>
    </row>
    <row r="45" spans="1:13" x14ac:dyDescent="0.25">
      <c r="B45">
        <v>0.8</v>
      </c>
      <c r="C45">
        <v>0.19200300000000001</v>
      </c>
      <c r="D45">
        <v>0.36114000000000002</v>
      </c>
      <c r="E45">
        <v>1.4941600384190601E-3</v>
      </c>
      <c r="F45">
        <v>0.83883421675078695</v>
      </c>
      <c r="G45">
        <v>0.696266889572143</v>
      </c>
      <c r="H45">
        <v>6.7644703652110403</v>
      </c>
      <c r="I45">
        <v>6.7337713241577104</v>
      </c>
      <c r="L45">
        <f t="shared" si="5"/>
        <v>-16.995888380766893</v>
      </c>
      <c r="M45">
        <f t="shared" si="4"/>
        <v>-0.45382771149699791</v>
      </c>
    </row>
    <row r="46" spans="1:13" x14ac:dyDescent="0.25">
      <c r="B46">
        <v>0.85</v>
      </c>
      <c r="C46">
        <v>0.21420349999999999</v>
      </c>
      <c r="D46">
        <v>0.40991</v>
      </c>
      <c r="E46">
        <v>9.5421797595918103E-4</v>
      </c>
      <c r="F46">
        <v>1.1190548042245401</v>
      </c>
      <c r="G46">
        <v>1.0127811431884699</v>
      </c>
      <c r="H46">
        <v>6.3249911146619899</v>
      </c>
      <c r="I46">
        <v>6.2960476875305096</v>
      </c>
      <c r="L46">
        <f t="shared" si="5"/>
        <v>-9.4967342649240081</v>
      </c>
      <c r="M46">
        <f t="shared" si="4"/>
        <v>-0.4576042338523838</v>
      </c>
    </row>
    <row r="47" spans="1:13" x14ac:dyDescent="0.25">
      <c r="B47">
        <v>0.9</v>
      </c>
      <c r="C47">
        <v>0.23754400000000001</v>
      </c>
      <c r="D47">
        <v>0.46605999999999997</v>
      </c>
      <c r="E47">
        <v>5.0145864952355602E-4</v>
      </c>
      <c r="F47">
        <v>1.4901016746776401</v>
      </c>
      <c r="G47">
        <v>1.4272592067718499</v>
      </c>
      <c r="H47">
        <v>5.8004481515459698</v>
      </c>
      <c r="I47">
        <v>5.7792930603027299</v>
      </c>
      <c r="L47">
        <f t="shared" si="5"/>
        <v>-4.2173275135326014</v>
      </c>
      <c r="M47">
        <f t="shared" si="4"/>
        <v>-0.36471477186812723</v>
      </c>
    </row>
    <row r="48" spans="1:13" x14ac:dyDescent="0.25">
      <c r="B48">
        <v>0.95</v>
      </c>
      <c r="C48">
        <v>0.26202449999999999</v>
      </c>
      <c r="D48">
        <v>0.52959000000000001</v>
      </c>
      <c r="E48">
        <v>1.623739808565E-4</v>
      </c>
      <c r="F48">
        <v>2.0265530139999899</v>
      </c>
      <c r="G48">
        <v>2.0113339424133301</v>
      </c>
      <c r="H48">
        <v>5.1160460815881903</v>
      </c>
      <c r="I48">
        <v>5.1104307174682599</v>
      </c>
      <c r="L48">
        <f t="shared" si="5"/>
        <v>-0.75098314633381114</v>
      </c>
      <c r="M48">
        <f t="shared" si="4"/>
        <v>-0.10975984247169172</v>
      </c>
    </row>
    <row r="52" spans="1:13" x14ac:dyDescent="0.25">
      <c r="A52" t="s">
        <v>17</v>
      </c>
      <c r="B52">
        <v>0.55000000000000004</v>
      </c>
      <c r="C52">
        <v>9.8100499999999993E-2</v>
      </c>
      <c r="D52">
        <v>0.22799</v>
      </c>
      <c r="E52">
        <v>0.31599524617195102</v>
      </c>
      <c r="F52">
        <v>0.13153015900000001</v>
      </c>
      <c r="G52">
        <v>1.1168748605996301E-3</v>
      </c>
      <c r="H52">
        <v>8.3564224849999995</v>
      </c>
      <c r="I52">
        <v>8.3501682281494105</v>
      </c>
      <c r="L52">
        <f>(G52-F52)/F52*100</f>
        <v>-99.150860252058521</v>
      </c>
      <c r="M52">
        <f t="shared" ref="M52" si="6">(I52-H52)/H52*100</f>
        <v>-7.4843712866547368E-2</v>
      </c>
    </row>
    <row r="53" spans="1:13" x14ac:dyDescent="0.25">
      <c r="B53">
        <v>0.6</v>
      </c>
      <c r="C53">
        <v>0.11460099999999999</v>
      </c>
      <c r="D53">
        <v>0.23985999999999999</v>
      </c>
      <c r="E53">
        <v>1.57962702214717E-2</v>
      </c>
      <c r="F53">
        <v>0.20922338800000001</v>
      </c>
      <c r="G53">
        <v>3.3913038671016603E-2</v>
      </c>
      <c r="H53">
        <v>8.0904478520000005</v>
      </c>
      <c r="I53">
        <v>8.0773468017578107</v>
      </c>
      <c r="L53">
        <f t="shared" ref="L53:L60" si="7">(G53-F53)/F53*100</f>
        <v>-83.790990579400898</v>
      </c>
      <c r="M53">
        <f t="shared" ref="M53:M60" si="8">(I53-H53)/H53*100</f>
        <v>-0.16193232416609823</v>
      </c>
    </row>
    <row r="54" spans="1:13" x14ac:dyDescent="0.25">
      <c r="B54">
        <v>0.65</v>
      </c>
      <c r="C54">
        <v>0.13224150000000001</v>
      </c>
      <c r="D54">
        <v>0.25911000000000001</v>
      </c>
      <c r="E54">
        <v>7.3808650486171202E-3</v>
      </c>
      <c r="F54">
        <v>0.31316375000000002</v>
      </c>
      <c r="G54">
        <v>0.120795533061027</v>
      </c>
      <c r="H54">
        <v>7.8035913700000004</v>
      </c>
      <c r="I54">
        <v>7.7840871810912997</v>
      </c>
      <c r="L54">
        <f t="shared" si="7"/>
        <v>-61.427357712689613</v>
      </c>
      <c r="M54">
        <f t="shared" si="8"/>
        <v>-0.2499386242042636</v>
      </c>
    </row>
    <row r="55" spans="1:13" x14ac:dyDescent="0.25">
      <c r="B55">
        <v>0.7</v>
      </c>
      <c r="C55">
        <v>0.15102199999999999</v>
      </c>
      <c r="D55">
        <v>0.28573999999999999</v>
      </c>
      <c r="E55">
        <v>3.6022937856614499E-3</v>
      </c>
      <c r="F55">
        <v>0.48078052599999999</v>
      </c>
      <c r="G55">
        <v>0.25811803340911799</v>
      </c>
      <c r="H55">
        <v>7.4915489199999996</v>
      </c>
      <c r="I55">
        <v>7.4665040969848597</v>
      </c>
      <c r="L55">
        <f t="shared" si="7"/>
        <v>-46.312710384380665</v>
      </c>
      <c r="M55">
        <f t="shared" si="8"/>
        <v>-0.33430767498932495</v>
      </c>
    </row>
    <row r="56" spans="1:13" x14ac:dyDescent="0.25">
      <c r="B56">
        <v>0.75</v>
      </c>
      <c r="C56">
        <v>0.1709425</v>
      </c>
      <c r="D56">
        <v>0.31974999999999998</v>
      </c>
      <c r="E56">
        <v>2.1090861409902499E-3</v>
      </c>
      <c r="F56">
        <v>0.62023152199999998</v>
      </c>
      <c r="G56">
        <v>0.44871869683265603</v>
      </c>
      <c r="H56">
        <v>7.1482383150000004</v>
      </c>
      <c r="I56">
        <v>7.11960697174072</v>
      </c>
      <c r="L56">
        <f t="shared" si="7"/>
        <v>-27.653032631150914</v>
      </c>
      <c r="M56">
        <f t="shared" si="8"/>
        <v>-0.40053705539167384</v>
      </c>
    </row>
    <row r="57" spans="1:13" x14ac:dyDescent="0.25">
      <c r="B57">
        <v>0.8</v>
      </c>
      <c r="C57">
        <v>0.19200300000000001</v>
      </c>
      <c r="D57">
        <v>0.36114000000000002</v>
      </c>
      <c r="E57">
        <v>1.50216149631887E-3</v>
      </c>
      <c r="F57">
        <v>0.83883422600000002</v>
      </c>
      <c r="G57">
        <v>0.69577819108963002</v>
      </c>
      <c r="H57">
        <v>6.7644704000000004</v>
      </c>
      <c r="I57">
        <v>6.7344484329223597</v>
      </c>
      <c r="L57">
        <f t="shared" si="7"/>
        <v>-17.05414854047336</v>
      </c>
      <c r="M57">
        <f t="shared" si="8"/>
        <v>-0.44381844109541391</v>
      </c>
    </row>
    <row r="58" spans="1:13" x14ac:dyDescent="0.25">
      <c r="B58">
        <v>0.85</v>
      </c>
      <c r="C58">
        <v>0.21420349999999999</v>
      </c>
      <c r="D58">
        <v>0.40991</v>
      </c>
      <c r="E58">
        <v>9.51997062657028E-4</v>
      </c>
      <c r="F58">
        <v>1.1190548760000001</v>
      </c>
      <c r="G58">
        <v>1.0128093957901001</v>
      </c>
      <c r="H58">
        <v>6.3249911460000003</v>
      </c>
      <c r="I58">
        <v>6.2970871925354004</v>
      </c>
      <c r="L58">
        <f t="shared" si="7"/>
        <v>-9.4942153855464717</v>
      </c>
      <c r="M58">
        <f t="shared" si="8"/>
        <v>-0.44116984230478712</v>
      </c>
    </row>
    <row r="59" spans="1:13" x14ac:dyDescent="0.25">
      <c r="B59">
        <v>0.9</v>
      </c>
      <c r="C59">
        <v>0.23754400000000001</v>
      </c>
      <c r="D59">
        <v>0.46605999999999997</v>
      </c>
      <c r="E59">
        <v>5.0816149450838501E-4</v>
      </c>
      <c r="F59">
        <v>1.4900957319999999</v>
      </c>
      <c r="G59">
        <v>1.42701351642608</v>
      </c>
      <c r="H59">
        <v>5.800445742</v>
      </c>
      <c r="I59">
        <v>5.7798376083373997</v>
      </c>
      <c r="L59">
        <f t="shared" si="7"/>
        <v>-4.2334337465185028</v>
      </c>
      <c r="M59">
        <f t="shared" si="8"/>
        <v>-0.35528534494134539</v>
      </c>
    </row>
    <row r="60" spans="1:13" x14ac:dyDescent="0.25">
      <c r="B60">
        <v>0.95</v>
      </c>
      <c r="C60">
        <v>0.26202449999999999</v>
      </c>
      <c r="D60">
        <v>0.52959000000000001</v>
      </c>
      <c r="E60">
        <v>1.63403645274229E-4</v>
      </c>
      <c r="F60">
        <v>2.0265522439999999</v>
      </c>
      <c r="G60">
        <v>2.01095342636108</v>
      </c>
      <c r="H60">
        <v>5.1160457030000002</v>
      </c>
      <c r="I60">
        <v>5.1108231544494602</v>
      </c>
      <c r="L60">
        <f t="shared" si="7"/>
        <v>-0.76972195930814125</v>
      </c>
      <c r="M60">
        <f t="shared" si="8"/>
        <v>-0.10208174151918714</v>
      </c>
    </row>
    <row r="63" spans="1:13" x14ac:dyDescent="0.25">
      <c r="B63">
        <v>0.55000000000000004</v>
      </c>
      <c r="C63">
        <v>0.103685</v>
      </c>
      <c r="D63">
        <v>0.27839950000000002</v>
      </c>
      <c r="E63" t="s">
        <v>15</v>
      </c>
      <c r="F63">
        <v>0.13152983488490699</v>
      </c>
      <c r="G63" t="s">
        <v>15</v>
      </c>
      <c r="H63">
        <v>8.3564224234387705</v>
      </c>
      <c r="I63" t="s">
        <v>15</v>
      </c>
      <c r="L63" t="e">
        <f t="shared" ref="L63" si="9">(G63-F63)/F63*100</f>
        <v>#VALUE!</v>
      </c>
      <c r="M63" t="e">
        <f t="shared" ref="M63" si="10">(I63-H63)/H63*100</f>
        <v>#VALUE!</v>
      </c>
    </row>
    <row r="64" spans="1:13" x14ac:dyDescent="0.25">
      <c r="A64" t="s">
        <v>18</v>
      </c>
      <c r="B64">
        <v>0.6</v>
      </c>
      <c r="C64">
        <v>0.11959</v>
      </c>
      <c r="D64">
        <v>0.28245399999999998</v>
      </c>
      <c r="E64">
        <v>3.09392362833023E-2</v>
      </c>
      <c r="F64">
        <v>0.209223544071861</v>
      </c>
      <c r="G64">
        <v>1.16998134180903E-2</v>
      </c>
      <c r="H64">
        <v>8.0904478240175592</v>
      </c>
      <c r="I64">
        <v>8.0754127502441406</v>
      </c>
      <c r="L64">
        <f t="shared" ref="L64:L71" si="11">(G64-F64)/F64*100</f>
        <v>-94.407984306932576</v>
      </c>
      <c r="M64">
        <f t="shared" ref="M64:M71" si="12">(I64-H64)/H64*100</f>
        <v>-0.18583734918585126</v>
      </c>
    </row>
    <row r="65" spans="2:13" x14ac:dyDescent="0.25">
      <c r="B65">
        <v>0.65</v>
      </c>
      <c r="C65">
        <v>0.135495</v>
      </c>
      <c r="D65">
        <v>0.2865085</v>
      </c>
      <c r="E65">
        <v>9.4530684873461706E-3</v>
      </c>
      <c r="F65">
        <v>0.31315440936814998</v>
      </c>
      <c r="G65">
        <v>9.7599521279334994E-2</v>
      </c>
      <c r="H65">
        <v>7.8035903915609799</v>
      </c>
      <c r="I65">
        <v>7.78116703033447</v>
      </c>
      <c r="L65">
        <f t="shared" si="11"/>
        <v>-68.833419437950425</v>
      </c>
      <c r="M65">
        <f t="shared" si="12"/>
        <v>-0.28734672248762755</v>
      </c>
    </row>
    <row r="66" spans="2:13" x14ac:dyDescent="0.25">
      <c r="B66">
        <v>0.7</v>
      </c>
      <c r="C66">
        <v>0.15140000000000001</v>
      </c>
      <c r="D66">
        <v>0.29056300000000002</v>
      </c>
      <c r="E66">
        <v>3.7171235308051101E-3</v>
      </c>
      <c r="F66">
        <v>0.44807879992910399</v>
      </c>
      <c r="G66">
        <v>0.25219264626502902</v>
      </c>
      <c r="H66">
        <v>7.4915489789568896</v>
      </c>
      <c r="I66">
        <v>7.46563720703125</v>
      </c>
      <c r="L66">
        <f t="shared" si="11"/>
        <v>-43.716898388200583</v>
      </c>
      <c r="M66">
        <f t="shared" si="12"/>
        <v>-0.34588003093116743</v>
      </c>
    </row>
    <row r="67" spans="2:13" x14ac:dyDescent="0.25">
      <c r="B67">
        <v>0.75</v>
      </c>
      <c r="C67">
        <v>0.16730500000000001</v>
      </c>
      <c r="D67">
        <v>0.29461749999999998</v>
      </c>
      <c r="E67">
        <v>1.9776907283812701E-3</v>
      </c>
      <c r="F67">
        <v>0.62023155189635304</v>
      </c>
      <c r="G67">
        <v>0.45986223220825101</v>
      </c>
      <c r="H67">
        <v>7.1482382843265304</v>
      </c>
      <c r="I67">
        <v>7.1203794479370099</v>
      </c>
      <c r="L67">
        <f t="shared" si="11"/>
        <v>-25.856362708052195</v>
      </c>
      <c r="M67">
        <f t="shared" si="12"/>
        <v>-0.38973010245901701</v>
      </c>
    </row>
    <row r="68" spans="2:13" x14ac:dyDescent="0.25">
      <c r="B68">
        <v>0.8</v>
      </c>
      <c r="C68">
        <v>0.18321000000000001</v>
      </c>
      <c r="D68">
        <v>0.29867199999999999</v>
      </c>
      <c r="E68">
        <v>1.3162923278287001E-3</v>
      </c>
      <c r="F68">
        <v>0.83883421675078695</v>
      </c>
      <c r="G68">
        <v>0.71809542179107599</v>
      </c>
      <c r="H68">
        <v>6.7644703652110403</v>
      </c>
      <c r="I68">
        <v>6.7384381294250399</v>
      </c>
      <c r="L68">
        <f t="shared" si="11"/>
        <v>-14.393642098600967</v>
      </c>
      <c r="M68">
        <f t="shared" si="12"/>
        <v>-0.38483775344602567</v>
      </c>
    </row>
    <row r="69" spans="2:13" x14ac:dyDescent="0.25">
      <c r="B69">
        <v>0.85</v>
      </c>
      <c r="C69">
        <v>0.19911499999999999</v>
      </c>
      <c r="D69">
        <v>0.30272650000000001</v>
      </c>
      <c r="E69">
        <v>7.8414328163489699E-4</v>
      </c>
      <c r="F69">
        <v>1.1190548042245401</v>
      </c>
      <c r="G69">
        <v>1.0413969755172701</v>
      </c>
      <c r="H69">
        <v>6.3249911146619899</v>
      </c>
      <c r="I69">
        <v>6.3037090301513601</v>
      </c>
      <c r="L69">
        <f t="shared" si="11"/>
        <v>-6.9395911991177002</v>
      </c>
      <c r="M69">
        <f t="shared" si="12"/>
        <v>-0.33647611711731512</v>
      </c>
    </row>
    <row r="70" spans="2:13" x14ac:dyDescent="0.25">
      <c r="B70">
        <v>0.9</v>
      </c>
      <c r="C70">
        <v>0.21501999999999999</v>
      </c>
      <c r="D70">
        <v>0.30678100000000003</v>
      </c>
      <c r="E70">
        <v>4.1969071025960099E-4</v>
      </c>
      <c r="F70">
        <v>1.4901016746776401</v>
      </c>
      <c r="G70">
        <v>1.4551522731780999</v>
      </c>
      <c r="H70">
        <v>5.8004481515459698</v>
      </c>
      <c r="I70">
        <v>5.7884888648986799</v>
      </c>
      <c r="L70">
        <f t="shared" si="11"/>
        <v>-2.3454373680306699</v>
      </c>
      <c r="M70">
        <f t="shared" si="12"/>
        <v>-0.20617866645532373</v>
      </c>
    </row>
    <row r="71" spans="2:13" x14ac:dyDescent="0.25">
      <c r="B71">
        <v>0.95</v>
      </c>
      <c r="C71">
        <v>0.23092499999999999</v>
      </c>
      <c r="D71">
        <v>0.31083549999999999</v>
      </c>
      <c r="E71">
        <v>1.3608974404632999E-4</v>
      </c>
      <c r="F71">
        <v>2.0265530139999899</v>
      </c>
      <c r="G71">
        <v>2.0314264297485298</v>
      </c>
      <c r="H71">
        <v>5.1160460815881903</v>
      </c>
      <c r="I71">
        <v>5.1192240715026802</v>
      </c>
      <c r="L71">
        <f t="shared" si="11"/>
        <v>0.24047807853399528</v>
      </c>
      <c r="M71">
        <f t="shared" si="12"/>
        <v>6.2118086190172991E-2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Xueqi</dc:creator>
  <cp:lastModifiedBy>Zhang, Xueqi</cp:lastModifiedBy>
  <dcterms:created xsi:type="dcterms:W3CDTF">2026-06-29T07:54:14Z</dcterms:created>
  <dcterms:modified xsi:type="dcterms:W3CDTF">2026-06-30T13:01:55Z</dcterms:modified>
</cp:coreProperties>
</file>