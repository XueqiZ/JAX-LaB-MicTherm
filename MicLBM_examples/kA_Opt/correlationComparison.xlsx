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laut\GitRepos\JAX-LaB-MicTherm\examples_SDU\multiphase\MRT\results_total\"/>
    </mc:Choice>
  </mc:AlternateContent>
  <xr:revisionPtr revIDLastSave="0" documentId="13_ncr:1_{78164B9C-2E0B-4675-98E9-26CF542B756A}" xr6:coauthVersionLast="47" xr6:coauthVersionMax="47" xr10:uidLastSave="{00000000-0000-0000-0000-000000000000}"/>
  <bookViews>
    <workbookView xWindow="30612" yWindow="-108" windowWidth="30936" windowHeight="16776" xr2:uid="{8896788D-4D17-4058-8025-1A7424B43ED5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9" i="1" l="1"/>
  <c r="A38" i="1"/>
  <c r="A37" i="1"/>
  <c r="A29" i="1"/>
  <c r="A36" i="1"/>
  <c r="A35" i="1"/>
  <c r="A34" i="1"/>
  <c r="A33" i="1"/>
  <c r="A32" i="1"/>
  <c r="A31" i="1"/>
  <c r="A30" i="1"/>
  <c r="A28" i="1"/>
  <c r="A27" i="1"/>
  <c r="A26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E5" i="1"/>
  <c r="D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C5" i="1"/>
  <c r="B5" i="1"/>
</calcChain>
</file>

<file path=xl/sharedStrings.xml><?xml version="1.0" encoding="utf-8"?>
<sst xmlns="http://schemas.openxmlformats.org/spreadsheetml/2006/main" count="22" uniqueCount="17">
  <si>
    <t>k</t>
  </si>
  <si>
    <t>A</t>
  </si>
  <si>
    <t>beta</t>
  </si>
  <si>
    <t>k_order</t>
  </si>
  <si>
    <t>A_order</t>
  </si>
  <si>
    <t>T_crit [K]</t>
  </si>
  <si>
    <t>T_red [-]</t>
  </si>
  <si>
    <t>REF</t>
  </si>
  <si>
    <t>10.1063/1.4885351</t>
  </si>
  <si>
    <t>eta_l [µPa s]</t>
  </si>
  <si>
    <t>eta_g [µPa s]</t>
  </si>
  <si>
    <t>surfTens [mN/m]</t>
  </si>
  <si>
    <t>rho_l [kg/m³]</t>
  </si>
  <si>
    <t>rho_g [kg/m³]</t>
  </si>
  <si>
    <t>Argon</t>
  </si>
  <si>
    <t>rho_crit [kg/m³]</t>
  </si>
  <si>
    <t>10.1007/s10765-025-03603-8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</si>
</sst>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0.0000"/>
  </numFmts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E7F483B-2B08-4B49-B71B-F58BD2F7393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DU">
  <a:themeElements>
    <a:clrScheme name="SDU">
      <a:dk1>
        <a:srgbClr val="000000"/>
      </a:dk1>
      <a:lt1>
        <a:sysClr val="window" lastClr="FFFFFF"/>
      </a:lt1>
      <a:dk2>
        <a:srgbClr val="7A6040"/>
      </a:dk2>
      <a:lt2>
        <a:srgbClr val="DDCBA4"/>
      </a:lt2>
      <a:accent1>
        <a:srgbClr val="AEB862"/>
      </a:accent1>
      <a:accent2>
        <a:srgbClr val="789D4A"/>
      </a:accent2>
      <a:accent3>
        <a:srgbClr val="F2C75C"/>
      </a:accent3>
      <a:accent4>
        <a:srgbClr val="E07E3C"/>
      </a:accent4>
      <a:accent5>
        <a:srgbClr val="E1BBB4"/>
      </a:accent5>
      <a:accent6>
        <a:srgbClr val="D05A57"/>
      </a:accent6>
      <a:hlink>
        <a:srgbClr val="0563C1"/>
      </a:hlink>
      <a:folHlink>
        <a:srgbClr val="954F72"/>
      </a:folHlink>
    </a:clrScheme>
    <a:fontScheme name="SDU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42774-4FA8-4DB9-ACB7-61C81F9E1DC2}">
  <dimension ref="A1:F43"/>
  <sheetViews>
    <sheetView tabSelected="1" workbookViewId="0">
      <selection activeCell="H15" sqref="H15"/>
    </sheetView>
  </sheetViews>
  <sheetFormatPr defaultRowHeight="13.8" x14ac:dyDescent="0.25"/>
  <cols>
    <col min="1" max="1" width="12.796875" bestFit="1" customWidth="1"/>
    <col min="2" max="2" width="16.5" bestFit="1" customWidth="1"/>
    <col min="3" max="3" width="10.8984375" bestFit="1" customWidth="1"/>
    <col min="4" max="4" width="11.5" bestFit="1" customWidth="1"/>
    <col min="5" max="5" width="10.796875" bestFit="1" customWidth="1"/>
    <col min="6" max="6" width="11.3984375" bestFit="1" customWidth="1"/>
    <col min="7" max="7" width="10.796875" bestFit="1" customWidth="1"/>
    <col min="8" max="8" width="11.3984375" bestFit="1" customWidth="1"/>
  </cols>
  <sheetData>
    <row r="1" spans="1:5" x14ac:dyDescent="0.25">
      <c r="A1" t="s">
        <v>2</v>
      </c>
      <c r="B1">
        <v>1</v>
      </c>
      <c r="D1">
        <v>0.5</v>
      </c>
    </row>
    <row r="2" spans="1:5" x14ac:dyDescent="0.25">
      <c r="A2" t="s">
        <v>3</v>
      </c>
      <c r="B2">
        <v>1</v>
      </c>
      <c r="D2">
        <v>2</v>
      </c>
    </row>
    <row r="3" spans="1:5" x14ac:dyDescent="0.25">
      <c r="A3" t="s">
        <v>4</v>
      </c>
      <c r="B3">
        <v>2</v>
      </c>
      <c r="D3">
        <v>2</v>
      </c>
    </row>
    <row r="4" spans="1:5" x14ac:dyDescent="0.25">
      <c r="B4" t="s">
        <v>0</v>
      </c>
      <c r="C4" t="s">
        <v>1</v>
      </c>
      <c r="D4" t="s">
        <v>0</v>
      </c>
      <c r="E4" t="s">
        <v>1</v>
      </c>
    </row>
    <row r="5" spans="1:5" x14ac:dyDescent="0.25">
      <c r="A5">
        <v>0.3</v>
      </c>
      <c r="B5">
        <f>0.3766*A5-0.1028</f>
        <v>1.0179999999999995E-2</v>
      </c>
      <c r="C5">
        <f>1.318*A5^2-1.218*A5+0.4991</f>
        <v>0.25231999999999999</v>
      </c>
      <c r="D5">
        <f>0.228*A5^2+0.06781*A5-0.008165</f>
        <v>3.2697999999999998E-2</v>
      </c>
      <c r="E5">
        <f>1.476*A5^2-1.46*A5+0.5845</f>
        <v>0.27934000000000003</v>
      </c>
    </row>
    <row r="6" spans="1:5" x14ac:dyDescent="0.25">
      <c r="A6">
        <v>0.35</v>
      </c>
      <c r="B6">
        <f t="shared" ref="B6:B19" si="0">0.3766*A6-0.1028</f>
        <v>2.900999999999998E-2</v>
      </c>
      <c r="C6">
        <f t="shared" ref="C6:C19" si="1">1.318*A6^2-1.218*A6+0.4991</f>
        <v>0.23425499999999999</v>
      </c>
      <c r="D6">
        <f t="shared" ref="D6:D19" si="2">0.228*A6^2+0.06781*A6-0.008165</f>
        <v>4.3498499999999996E-2</v>
      </c>
      <c r="E6">
        <f t="shared" ref="E6:E19" si="3">1.476*A6^2-1.46*A6+0.5845</f>
        <v>0.25430999999999998</v>
      </c>
    </row>
    <row r="7" spans="1:5" x14ac:dyDescent="0.25">
      <c r="A7">
        <v>0.4</v>
      </c>
      <c r="B7">
        <f t="shared" si="0"/>
        <v>4.7839999999999994E-2</v>
      </c>
      <c r="C7">
        <f t="shared" si="1"/>
        <v>0.22277999999999998</v>
      </c>
      <c r="D7">
        <f t="shared" si="2"/>
        <v>5.5439000000000009E-2</v>
      </c>
      <c r="E7">
        <f t="shared" si="3"/>
        <v>0.23666000000000009</v>
      </c>
    </row>
    <row r="8" spans="1:5" x14ac:dyDescent="0.25">
      <c r="A8">
        <v>0.45</v>
      </c>
      <c r="B8">
        <f t="shared" si="0"/>
        <v>6.6670000000000007E-2</v>
      </c>
      <c r="C8">
        <f t="shared" si="1"/>
        <v>0.21789500000000001</v>
      </c>
      <c r="D8">
        <f t="shared" si="2"/>
        <v>6.8519499999999997E-2</v>
      </c>
      <c r="E8">
        <f t="shared" si="3"/>
        <v>0.22638999999999998</v>
      </c>
    </row>
    <row r="9" spans="1:5" x14ac:dyDescent="0.25">
      <c r="A9">
        <v>0.5</v>
      </c>
      <c r="B9">
        <f t="shared" si="0"/>
        <v>8.5499999999999993E-2</v>
      </c>
      <c r="C9">
        <f t="shared" si="1"/>
        <v>0.21960000000000002</v>
      </c>
      <c r="D9">
        <f t="shared" si="2"/>
        <v>8.2739999999999994E-2</v>
      </c>
      <c r="E9">
        <f t="shared" si="3"/>
        <v>0.22350000000000003</v>
      </c>
    </row>
    <row r="10" spans="1:5" x14ac:dyDescent="0.25">
      <c r="A10">
        <v>0.55000000000000004</v>
      </c>
      <c r="B10">
        <f t="shared" si="0"/>
        <v>0.10433000000000001</v>
      </c>
      <c r="C10">
        <f t="shared" si="1"/>
        <v>0.22789500000000001</v>
      </c>
      <c r="D10">
        <f t="shared" si="2"/>
        <v>9.8100500000000007E-2</v>
      </c>
      <c r="E10">
        <f t="shared" si="3"/>
        <v>0.22799000000000003</v>
      </c>
    </row>
    <row r="11" spans="1:5" x14ac:dyDescent="0.25">
      <c r="A11">
        <v>0.6</v>
      </c>
      <c r="B11">
        <f t="shared" si="0"/>
        <v>0.12315999999999999</v>
      </c>
      <c r="C11">
        <f t="shared" si="1"/>
        <v>0.24278</v>
      </c>
      <c r="D11">
        <f t="shared" si="2"/>
        <v>0.11460099999999998</v>
      </c>
      <c r="E11">
        <f t="shared" si="3"/>
        <v>0.23985999999999996</v>
      </c>
    </row>
    <row r="12" spans="1:5" x14ac:dyDescent="0.25">
      <c r="A12">
        <v>0.65</v>
      </c>
      <c r="B12">
        <f t="shared" si="0"/>
        <v>0.14199000000000001</v>
      </c>
      <c r="C12">
        <f t="shared" si="1"/>
        <v>0.26425500000000013</v>
      </c>
      <c r="D12">
        <f t="shared" si="2"/>
        <v>0.13224150000000001</v>
      </c>
      <c r="E12">
        <f t="shared" si="3"/>
        <v>0.25911000000000017</v>
      </c>
    </row>
    <row r="13" spans="1:5" x14ac:dyDescent="0.25">
      <c r="A13">
        <v>0.7</v>
      </c>
      <c r="B13">
        <f t="shared" si="0"/>
        <v>0.16081999999999996</v>
      </c>
      <c r="C13">
        <f t="shared" si="1"/>
        <v>0.29232000000000002</v>
      </c>
      <c r="D13">
        <f t="shared" si="2"/>
        <v>0.15102199999999996</v>
      </c>
      <c r="E13">
        <f t="shared" si="3"/>
        <v>0.28573999999999988</v>
      </c>
    </row>
    <row r="14" spans="1:5" x14ac:dyDescent="0.25">
      <c r="A14">
        <v>0.75</v>
      </c>
      <c r="B14">
        <f t="shared" si="0"/>
        <v>0.17964999999999998</v>
      </c>
      <c r="C14">
        <f t="shared" si="1"/>
        <v>0.32697500000000002</v>
      </c>
      <c r="D14">
        <f t="shared" si="2"/>
        <v>0.1709425</v>
      </c>
      <c r="E14">
        <f t="shared" si="3"/>
        <v>0.31974999999999998</v>
      </c>
    </row>
    <row r="15" spans="1:5" x14ac:dyDescent="0.25">
      <c r="A15">
        <v>0.8</v>
      </c>
      <c r="B15">
        <f t="shared" si="0"/>
        <v>0.19847999999999999</v>
      </c>
      <c r="C15">
        <f t="shared" si="1"/>
        <v>0.3682200000000001</v>
      </c>
      <c r="D15">
        <f t="shared" si="2"/>
        <v>0.19200300000000001</v>
      </c>
      <c r="E15">
        <f t="shared" si="3"/>
        <v>0.36114000000000024</v>
      </c>
    </row>
    <row r="16" spans="1:5" x14ac:dyDescent="0.25">
      <c r="A16">
        <v>0.85</v>
      </c>
      <c r="B16">
        <f t="shared" si="0"/>
        <v>0.21731</v>
      </c>
      <c r="C16">
        <f t="shared" si="1"/>
        <v>0.41605500000000006</v>
      </c>
      <c r="D16">
        <f t="shared" si="2"/>
        <v>0.21420349999999996</v>
      </c>
      <c r="E16">
        <f t="shared" si="3"/>
        <v>0.40991</v>
      </c>
    </row>
    <row r="17" spans="1:6" x14ac:dyDescent="0.25">
      <c r="A17">
        <v>0.9</v>
      </c>
      <c r="B17">
        <f t="shared" si="0"/>
        <v>0.23614000000000002</v>
      </c>
      <c r="C17">
        <f t="shared" si="1"/>
        <v>0.47048000000000012</v>
      </c>
      <c r="D17">
        <f t="shared" si="2"/>
        <v>0.23754400000000001</v>
      </c>
      <c r="E17">
        <f t="shared" si="3"/>
        <v>0.46605999999999992</v>
      </c>
    </row>
    <row r="18" spans="1:6" x14ac:dyDescent="0.25">
      <c r="A18">
        <v>0.95</v>
      </c>
      <c r="B18">
        <f t="shared" si="0"/>
        <v>0.25496999999999997</v>
      </c>
      <c r="C18">
        <f t="shared" si="1"/>
        <v>0.53149499999999994</v>
      </c>
      <c r="D18">
        <f t="shared" si="2"/>
        <v>0.26202449999999999</v>
      </c>
      <c r="E18">
        <f t="shared" si="3"/>
        <v>0.52959000000000001</v>
      </c>
    </row>
    <row r="19" spans="1:6" x14ac:dyDescent="0.25">
      <c r="A19">
        <v>1</v>
      </c>
      <c r="B19">
        <f t="shared" si="0"/>
        <v>0.27379999999999999</v>
      </c>
      <c r="C19">
        <f t="shared" si="1"/>
        <v>0.59910000000000008</v>
      </c>
      <c r="D19">
        <f t="shared" si="2"/>
        <v>0.28764500000000004</v>
      </c>
      <c r="E19">
        <f t="shared" si="3"/>
        <v>0.60050000000000003</v>
      </c>
    </row>
    <row r="22" spans="1:6" x14ac:dyDescent="0.25">
      <c r="A22" t="s">
        <v>14</v>
      </c>
    </row>
    <row r="23" spans="1:6" x14ac:dyDescent="0.25">
      <c r="A23" t="s">
        <v>5</v>
      </c>
      <c r="B23">
        <v>150.68700000000001</v>
      </c>
    </row>
    <row r="24" spans="1:6" x14ac:dyDescent="0.25">
      <c r="A24" t="s">
        <v>15</v>
      </c>
      <c r="B24">
        <v>535.6</v>
      </c>
    </row>
    <row r="25" spans="1:6" x14ac:dyDescent="0.25">
      <c r="A25" t="s">
        <v>6</v>
      </c>
      <c r="B25" t="s">
        <v>11</v>
      </c>
      <c r="C25" t="s">
        <v>9</v>
      </c>
      <c r="D25" t="s">
        <v>10</v>
      </c>
      <c r="E25" t="s">
        <v>12</v>
      </c>
      <c r="F25" t="s">
        <v>13</v>
      </c>
    </row>
    <row r="26" spans="1:6" x14ac:dyDescent="0.25">
      <c r="A26">
        <f>85/$B$23</f>
        <v>0.56408316576745166</v>
      </c>
      <c r="B26">
        <v>13.23</v>
      </c>
    </row>
    <row r="27" spans="1:6" x14ac:dyDescent="0.25">
      <c r="A27">
        <f>90/$B$23</f>
        <v>0.59726452845965472</v>
      </c>
      <c r="B27">
        <v>12</v>
      </c>
      <c r="C27">
        <v>240.45</v>
      </c>
      <c r="D27">
        <v>7.2245999999999997</v>
      </c>
      <c r="E27">
        <v>1378.6</v>
      </c>
      <c r="F27" s="1">
        <v>7.4362000000000004</v>
      </c>
    </row>
    <row r="28" spans="1:6" x14ac:dyDescent="0.25">
      <c r="A28">
        <f>95/$B$23</f>
        <v>0.63044589115185778</v>
      </c>
      <c r="B28">
        <v>10.84</v>
      </c>
    </row>
    <row r="29" spans="1:6" x14ac:dyDescent="0.25">
      <c r="A29">
        <f>100/$B$23</f>
        <v>0.66362725384406085</v>
      </c>
      <c r="B29">
        <v>9.5399999999999991</v>
      </c>
      <c r="C29">
        <v>183.07</v>
      </c>
      <c r="D29">
        <v>8.0043000000000006</v>
      </c>
      <c r="E29">
        <v>1313.7</v>
      </c>
      <c r="F29">
        <v>16.859000000000002</v>
      </c>
    </row>
    <row r="30" spans="1:6" x14ac:dyDescent="0.25">
      <c r="A30">
        <f>105/$B$23</f>
        <v>0.6968086165362638</v>
      </c>
      <c r="B30">
        <v>8.5299999999999994</v>
      </c>
    </row>
    <row r="31" spans="1:6" x14ac:dyDescent="0.25">
      <c r="A31">
        <f>110/$B$23</f>
        <v>0.72998997922846687</v>
      </c>
      <c r="B31">
        <v>7.24</v>
      </c>
      <c r="C31">
        <v>142.47999999999999</v>
      </c>
      <c r="D31">
        <v>8.8720999999999997</v>
      </c>
      <c r="E31">
        <v>1242.8</v>
      </c>
      <c r="F31">
        <v>33.286999999999999</v>
      </c>
    </row>
    <row r="32" spans="1:6" x14ac:dyDescent="0.25">
      <c r="A32">
        <f>115/$B$23</f>
        <v>0.76317134192066993</v>
      </c>
      <c r="B32">
        <v>6.02</v>
      </c>
    </row>
    <row r="33" spans="1:6" x14ac:dyDescent="0.25">
      <c r="A33">
        <f>120/$B$23</f>
        <v>0.796352704612873</v>
      </c>
      <c r="B33">
        <v>5.16</v>
      </c>
      <c r="C33">
        <v>111.66</v>
      </c>
      <c r="D33">
        <v>9.9016999999999999</v>
      </c>
      <c r="E33">
        <v>1162.8</v>
      </c>
      <c r="F33">
        <v>60.143999999999998</v>
      </c>
    </row>
    <row r="34" spans="1:6" x14ac:dyDescent="0.25">
      <c r="A34">
        <f>125/$B$23</f>
        <v>0.82953406730507606</v>
      </c>
      <c r="B34">
        <v>4.0599999999999996</v>
      </c>
    </row>
    <row r="35" spans="1:6" x14ac:dyDescent="0.25">
      <c r="A35">
        <f>130/$B$23</f>
        <v>0.86271542999727902</v>
      </c>
      <c r="B35">
        <v>3.09</v>
      </c>
      <c r="C35">
        <v>86.679000000000002</v>
      </c>
      <c r="D35">
        <v>11.247999999999999</v>
      </c>
      <c r="E35">
        <v>1068.0999999999999</v>
      </c>
      <c r="F35">
        <v>103.56</v>
      </c>
    </row>
    <row r="36" spans="1:6" x14ac:dyDescent="0.25">
      <c r="A36">
        <f>135/$B$23</f>
        <v>0.89589679268948208</v>
      </c>
      <c r="B36">
        <v>2.11</v>
      </c>
    </row>
    <row r="37" spans="1:6" x14ac:dyDescent="0.25">
      <c r="A37">
        <f>140/$B$23</f>
        <v>0.92907815538168514</v>
      </c>
      <c r="C37">
        <v>64.471000000000004</v>
      </c>
      <c r="D37">
        <v>13.37</v>
      </c>
      <c r="E37">
        <v>943.71</v>
      </c>
      <c r="F37">
        <v>178.86</v>
      </c>
    </row>
    <row r="38" spans="1:6" x14ac:dyDescent="0.25">
      <c r="A38">
        <f>145/$B$23</f>
        <v>0.96225951807388821</v>
      </c>
    </row>
    <row r="39" spans="1:6" x14ac:dyDescent="0.25">
      <c r="A39">
        <f>150/$B$23</f>
        <v>0.99544088076609127</v>
      </c>
      <c r="C39">
        <v>36.712000000000003</v>
      </c>
      <c r="D39">
        <v>20.533000000000001</v>
      </c>
      <c r="E39">
        <v>680.43</v>
      </c>
      <c r="F39">
        <v>394.5</v>
      </c>
    </row>
    <row r="43" spans="1:6" x14ac:dyDescent="0.25">
      <c r="A43" t="s">
        <v>7</v>
      </c>
      <c r="B43" t="s">
        <v>8</v>
      </c>
      <c r="C43" t="s">
        <v>16</v>
      </c>
      <c r="D43" t="s">
        <v>16</v>
      </c>
      <c r="E43" t="s">
        <v>16</v>
      </c>
      <c r="F43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ook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32EA6D85-E46E-4C0A-BEA4-CBE991220F99}">
  <ds:schemaRefs/>
</ds:datastoreItem>
</file>

<file path=customXml/itemProps2.xml><?xml version="1.0" encoding="utf-8"?>
<ds:datastoreItem xmlns:ds="http://schemas.openxmlformats.org/officeDocument/2006/customXml" ds:itemID="{0EB8A4D0-2978-4CC7-A263-CA3830AE943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Lautenschläger</dc:creator>
  <cp:lastModifiedBy>Martin Lautenschläger</cp:lastModifiedBy>
  <dcterms:created xsi:type="dcterms:W3CDTF">2025-03-02T09:13:53Z</dcterms:created>
  <dcterms:modified xsi:type="dcterms:W3CDTF">2026-06-23T13:49:51Z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sdu</vt:lpwstr>
  </property>
  <property fmtid="{D5CDD505-2E9C-101B-9397-08002B2CF9AE}" pid="3" name="TemplafyTemplateId">
    <vt:lpwstr>637910548563422675</vt:lpwstr>
  </property>
  <property fmtid="{D5CDD505-2E9C-101B-9397-08002B2CF9AE}" pid="4" name="TemplafyUserProfileId">
    <vt:lpwstr>638222334717492130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